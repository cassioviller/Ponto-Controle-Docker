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MODELO" state="visible" r:id="rId5"/>
    <sheet sheetId="3" name="João Silva" state="visible" r:id="rId6"/>
    <sheet sheetId="4" name="Maria Oliveira" state="visible" r:id="rId7"/>
    <sheet sheetId="5" name="CONSOLIDADO" state="visible" r:id="rId8"/>
  </sheets>
  <calcPr calcId="171027"/>
</workbook>
</file>

<file path=xl/sharedStrings.xml><?xml version="1.0" encoding="utf-8"?>
<sst xmlns="http://schemas.openxmlformats.org/spreadsheetml/2006/main" count="155" uniqueCount="67">
  <si>
    <t>INSTRUÇÕES DE USO — PLANILHA DE CONTROLE DE PONTO</t>
  </si>
  <si>
    <t>COMO USAR ESTA PLANILHA</t>
  </si>
  <si>
    <t>1.</t>
  </si>
  <si>
    <t>Informar o Mês/Ano</t>
  </si>
  <si>
    <t>Na célula destacada em amarelo (C3 de cada aba de funcionário), clique e informe a data do primeiro dia do mês — ex: 01/04/2025. A planilha preencherá automaticamente todas as datas e dias da semana.</t>
  </si>
  <si>
    <t>2.</t>
  </si>
  <si>
    <t>MODELO (aba laranja)</t>
  </si>
  <si>
    <t>Esta é a aba padrão. Não preencha dados aqui — use-a apenas como template para novos funcionários.</t>
  </si>
  <si>
    <t>3.</t>
  </si>
  <si>
    <t>Adicionar funcionário</t>
  </si>
  <si>
    <t>Clique com o botão direito na aba "MODELO" → "Mover ou Copiar" → marque "Criar uma cópia" → renomeie com o nome do funcionário e informe o mês na célula amarela.</t>
  </si>
  <si>
    <t>4.</t>
  </si>
  <si>
    <t>Preencher dados</t>
  </si>
  <si>
    <t>Preencha apenas: Entrada (HH:MM), Saída (HH:MM), Intervalo (HH:MM), HE 60%, HE 100%, Atrasos, Faltas e Observações. Datas, dias da semana e Total de Horas são calculados automaticamente.</t>
  </si>
  <si>
    <t>5.</t>
  </si>
  <si>
    <t>Destaques automáticos</t>
  </si>
  <si>
    <t>Sábados ficam em laranja claro e domingos em amarelo — gerado automaticamente conforme o mês informado.</t>
  </si>
  <si>
    <t>6.</t>
  </si>
  <si>
    <t>Consolidado</t>
  </si>
  <si>
    <t>A aba "CONSOLIDADO" puxa automaticamente os totais de cada aba de funcionário. Ao adicionar um novo funcionário, adicione também uma linha no Consolidado referenciando a nova aba.</t>
  </si>
  <si>
    <t>FORMATO DOS CAMPOS</t>
  </si>
  <si>
    <t>•</t>
  </si>
  <si>
    <t>Hora</t>
  </si>
  <si>
    <t>Use sempre HH:MM — ex: 08:00, 17:30, 01:15. Não use formato decimal.</t>
  </si>
  <si>
    <t>Mês/Ano (C3)</t>
  </si>
  <si>
    <t>Digite a data do primeiro dia do mês: 01/04/2025 (ou selecione via calendário). A célula mostrará "Abril/2025" automaticamente.</t>
  </si>
  <si>
    <t>Dias inválidos</t>
  </si>
  <si>
    <t>Dias que não existem no mês (ex: 29, 30, 31 em fevereiro) ficam em branco automaticamente.</t>
  </si>
  <si>
    <t>CONTROLE DE PONTO — FOLHA INDIVIDUAL</t>
  </si>
  <si>
    <t>Funcionário:</t>
  </si>
  <si>
    <t>← Nome do Funcionário</t>
  </si>
  <si>
    <t>Cargo:</t>
  </si>
  <si>
    <t>← Cargo</t>
  </si>
  <si>
    <t>Mês/Ano:</t>
  </si>
  <si>
    <t>Jornada Diária:</t>
  </si>
  <si>
    <t>⬅  Informe aqui o 1º dia do mês (ex: 01/04/2025)</t>
  </si>
  <si>
    <t>RESUMO DO MÊS</t>
  </si>
  <si>
    <t>Total Horas</t>
  </si>
  <si>
    <t>HE 60%</t>
  </si>
  <si>
    <t>HE 100%</t>
  </si>
  <si>
    <t>Atrasos</t>
  </si>
  <si>
    <t>Faltas</t>
  </si>
  <si>
    <t>Dias Trabalhados</t>
  </si>
  <si>
    <t>Dom/Feriados</t>
  </si>
  <si>
    <t>Data</t>
  </si>
  <si>
    <t>Dia da Semana</t>
  </si>
  <si>
    <t>Entrada</t>
  </si>
  <si>
    <t>Saída</t>
  </si>
  <si>
    <t>Intervalo</t>
  </si>
  <si>
    <t>Observações</t>
  </si>
  <si>
    <t>João da Silva Pereira</t>
  </si>
  <si>
    <t>Assistente Operacional</t>
  </si>
  <si>
    <t>Falta justificada — atestado médico</t>
  </si>
  <si>
    <t>Feriado — Tiradentes</t>
  </si>
  <si>
    <t>Maria Aparecida Oliveira</t>
  </si>
  <si>
    <t>Auxiliar Administrativo</t>
  </si>
  <si>
    <t>CONSOLIDADO DA FOLHA — RESUMO GERAL</t>
  </si>
  <si>
    <t>← Informe o mês de referência</t>
  </si>
  <si>
    <t>#</t>
  </si>
  <si>
    <t>Nome do Funcionário</t>
  </si>
  <si>
    <t>Total de Horas</t>
  </si>
  <si>
    <t>Dias Trab.</t>
  </si>
  <si>
    <t>Observações Gerais</t>
  </si>
  <si>
    <t/>
  </si>
  <si>
    <t>← Adicionar funcionário</t>
  </si>
  <si>
    <t>TOTAL GERAL</t>
  </si>
  <si>
    <t>ℹ️  Para adicionar funcionários: duplique a aba "MODELO", renomeie com o nome do funcionário, informe o mês na célula amarela (C3), e adicione uma nova linha nesta tabela referenciando a nova aba.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</si>
</sst>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16]mmmm&quot;/&quot;yyyy;@"/>
    <numFmt numFmtId="165" formatCode="hh:mm"/>
    <numFmt numFmtId="166" formatCode="[hh]:mm"/>
    <numFmt numFmtId="167" formatCode="DD/MM/YYYY"/>
  </numFmts>
  <fonts count="12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1"/>
    </font>
    <font>
      <b/>
      <sz val="10"/>
    </font>
    <font>
      <b/>
      <color rgb="1F4E79"/>
      <sz val="10"/>
    </font>
    <font>
      <sz val="10"/>
    </font>
    <font>
      <b/>
      <sz val="11"/>
    </font>
    <font>
      <i/>
      <color rgb="B8860B"/>
      <sz val="9"/>
    </font>
    <font>
      <b/>
      <color rgb="FFFFFF"/>
      <sz val="9"/>
    </font>
    <font>
      <b/>
      <color rgb="375623"/>
      <sz val="10"/>
    </font>
    <font>
      <b/>
      <color rgb="FFFFFF"/>
      <sz val="10"/>
    </font>
    <font>
      <i/>
      <color rgb="7D6608"/>
      <sz val="9"/>
    </font>
  </fonts>
  <fills count="11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2E75B6"/>
      </patternFill>
    </fill>
    <fill>
      <patternFill patternType="solid">
        <fgColor rgb="EBF3FB"/>
      </patternFill>
    </fill>
    <fill>
      <patternFill patternType="solid">
        <fgColor rgb="FFFFFF"/>
      </patternFill>
    </fill>
    <fill>
      <patternFill patternType="solid">
        <fgColor rgb="FFFACD"/>
      </patternFill>
    </fill>
    <fill>
      <patternFill patternType="solid">
        <fgColor rgb="375623"/>
      </patternFill>
    </fill>
    <fill>
      <patternFill patternType="solid">
        <fgColor rgb="E2EFDA"/>
      </patternFill>
    </fill>
    <fill>
      <patternFill patternType="solid">
        <fgColor rgb="F2F9FF"/>
      </patternFill>
    </fill>
    <fill>
      <patternFill patternType="solid">
        <fgColor rgb="FFF2CC"/>
      </patternFill>
    </fill>
  </fills>
  <borders count="3">
    <border>
      <left/>
      <right/>
      <top/>
      <bottom/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medium">
        <color rgb="FFA500"/>
      </left>
      <right style="medium">
        <color rgb="FFA500"/>
      </right>
      <top style="medium">
        <color rgb="FFA500"/>
      </top>
      <bottom style="medium">
        <color rgb="FFA5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indent="1"/>
    </xf>
    <xf numFmtId="0" fontId="5" fillId="0" borderId="0" xfId="0" applyFont="1" applyAlignment="1">
      <alignment horizontal="left" vertical="top" wrapText="1" indent="1"/>
    </xf>
    <xf numFmtId="0" fontId="4" fillId="4" borderId="1" xfId="0" applyFont="1" applyFill="1" applyBorder="1" applyAlignment="1">
      <alignment horizontal="right" vertical="center" indent="1"/>
    </xf>
    <xf numFmtId="0" fontId="6" fillId="5" borderId="1" xfId="0" applyFont="1" applyFill="1" applyBorder="1" applyAlignment="1">
      <alignment horizontal="left" vertical="center" indent="1"/>
    </xf>
    <xf numFmtId="164" fontId="6" fillId="6" borderId="2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166" fontId="9" fillId="8" borderId="1" xfId="0" applyNumberFormat="1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indent="1"/>
    </xf>
    <xf numFmtId="1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1" fontId="5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11" fillId="10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9">
    <dxf>
      <font>
        <color rgb="7D6608"/>
      </font>
      <fill>
        <patternFill patternType="solid">
          <bgColor rgb="FFF2CC"/>
        </patternFill>
      </fill>
    </dxf>
    <dxf>
      <font>
        <color rgb="843C0C"/>
      </font>
      <fill>
        <patternFill patternType="solid">
          <bgColor rgb="FCE4D6"/>
        </patternFill>
      </fill>
    </dxf>
    <dxf>
      <fill>
        <patternFill patternType="solid">
          <bgColor rgb="EBF5FF"/>
        </patternFill>
      </fill>
    </dxf>
    <dxf>
      <font>
        <color rgb="7D6608"/>
      </font>
      <fill>
        <patternFill patternType="solid">
          <bgColor rgb="FFF2CC"/>
        </patternFill>
      </fill>
    </dxf>
    <dxf>
      <font>
        <color rgb="843C0C"/>
      </font>
      <fill>
        <patternFill patternType="solid">
          <bgColor rgb="FCE4D6"/>
        </patternFill>
      </fill>
    </dxf>
    <dxf>
      <fill>
        <patternFill patternType="solid">
          <bgColor rgb="EBF5FF"/>
        </patternFill>
      </fill>
    </dxf>
    <dxf>
      <font>
        <color rgb="7D6608"/>
      </font>
      <fill>
        <patternFill patternType="solid">
          <bgColor rgb="FFF2CC"/>
        </patternFill>
      </fill>
    </dxf>
    <dxf>
      <font>
        <color rgb="843C0C"/>
      </font>
      <fill>
        <patternFill patternType="solid">
          <bgColor rgb="FCE4D6"/>
        </patternFill>
      </fill>
    </dxf>
    <dxf>
      <fill>
        <patternFill patternType="solid">
          <bgColor rgb="EBF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8" customWidth="1"/>
    <col min="3" max="6" width="20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6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30" customHeight="1" spans="1:6" x14ac:dyDescent="0.25">
      <c r="A4" s="3" t="s">
        <v>2</v>
      </c>
      <c r="B4" s="4" t="s">
        <v>3</v>
      </c>
      <c r="C4" s="5" t="s">
        <v>4</v>
      </c>
      <c r="D4" s="5"/>
      <c r="E4" s="5"/>
      <c r="F4" s="5"/>
    </row>
    <row r="5" ht="30" customHeight="1" spans="1:6" x14ac:dyDescent="0.25">
      <c r="A5" s="3" t="s">
        <v>5</v>
      </c>
      <c r="B5" s="4" t="s">
        <v>6</v>
      </c>
      <c r="C5" s="5" t="s">
        <v>7</v>
      </c>
      <c r="D5" s="5"/>
      <c r="E5" s="5"/>
      <c r="F5" s="5"/>
    </row>
    <row r="6" ht="30" customHeight="1" spans="1:6" x14ac:dyDescent="0.25">
      <c r="A6" s="3" t="s">
        <v>8</v>
      </c>
      <c r="B6" s="4" t="s">
        <v>9</v>
      </c>
      <c r="C6" s="5" t="s">
        <v>10</v>
      </c>
      <c r="D6" s="5"/>
      <c r="E6" s="5"/>
      <c r="F6" s="5"/>
    </row>
    <row r="7" ht="30" customHeight="1" spans="1:6" x14ac:dyDescent="0.25">
      <c r="A7" s="3" t="s">
        <v>11</v>
      </c>
      <c r="B7" s="4" t="s">
        <v>12</v>
      </c>
      <c r="C7" s="5" t="s">
        <v>13</v>
      </c>
      <c r="D7" s="5"/>
      <c r="E7" s="5"/>
      <c r="F7" s="5"/>
    </row>
    <row r="8" ht="30" customHeight="1" spans="1:6" x14ac:dyDescent="0.25">
      <c r="A8" s="3" t="s">
        <v>14</v>
      </c>
      <c r="B8" s="4" t="s">
        <v>15</v>
      </c>
      <c r="C8" s="5" t="s">
        <v>16</v>
      </c>
      <c r="D8" s="5"/>
      <c r="E8" s="5"/>
      <c r="F8" s="5"/>
    </row>
    <row r="9" ht="30" customHeight="1" spans="1:6" x14ac:dyDescent="0.25">
      <c r="A9" s="3" t="s">
        <v>17</v>
      </c>
      <c r="B9" s="4" t="s">
        <v>18</v>
      </c>
      <c r="C9" s="5" t="s">
        <v>19</v>
      </c>
      <c r="D9" s="5"/>
      <c r="E9" s="5"/>
      <c r="F9" s="5"/>
    </row>
    <row r="10" ht="26" customHeight="1" spans="1:6" x14ac:dyDescent="0.25">
      <c r="A10" s="2" t="s">
        <v>20</v>
      </c>
      <c r="B10" s="2"/>
      <c r="C10" s="2"/>
      <c r="D10" s="2"/>
      <c r="E10" s="2"/>
      <c r="F10" s="2"/>
    </row>
    <row r="11" ht="6" customHeight="1" x14ac:dyDescent="0.25"/>
    <row r="12" ht="30" customHeight="1" spans="1:6" x14ac:dyDescent="0.25">
      <c r="A12" s="3" t="s">
        <v>21</v>
      </c>
      <c r="B12" s="4" t="s">
        <v>22</v>
      </c>
      <c r="C12" s="5" t="s">
        <v>23</v>
      </c>
      <c r="D12" s="5"/>
      <c r="E12" s="5"/>
      <c r="F12" s="5"/>
    </row>
    <row r="13" ht="30" customHeight="1" spans="1:6" x14ac:dyDescent="0.25">
      <c r="A13" s="3" t="s">
        <v>21</v>
      </c>
      <c r="B13" s="4" t="s">
        <v>24</v>
      </c>
      <c r="C13" s="5" t="s">
        <v>25</v>
      </c>
      <c r="D13" s="5"/>
      <c r="E13" s="5"/>
      <c r="F13" s="5"/>
    </row>
    <row r="14" ht="30" customHeight="1" spans="1:6" x14ac:dyDescent="0.25">
      <c r="A14" s="3" t="s">
        <v>21</v>
      </c>
      <c r="B14" s="4" t="s">
        <v>26</v>
      </c>
      <c r="C14" s="5" t="s">
        <v>27</v>
      </c>
      <c r="D14" s="5"/>
      <c r="E14" s="5"/>
      <c r="F14" s="5"/>
    </row>
  </sheetData>
  <mergeCells count="12">
    <mergeCell ref="A1:F1"/>
    <mergeCell ref="A2:F2"/>
    <mergeCell ref="C4:F4"/>
    <mergeCell ref="C5:F5"/>
    <mergeCell ref="C6:F6"/>
    <mergeCell ref="C7:F7"/>
    <mergeCell ref="C8:F8"/>
    <mergeCell ref="C9:F9"/>
    <mergeCell ref="A10:F10"/>
    <mergeCell ref="C12:F12"/>
    <mergeCell ref="C13:F13"/>
    <mergeCell ref="C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0" customWidth="1"/>
    <col min="5" max="5" width="12" customWidth="1"/>
    <col min="6" max="6" width="14" customWidth="1"/>
    <col min="7" max="10" width="12" customWidth="1"/>
    <col min="11" max="11" width="30" customWidth="1"/>
  </cols>
  <sheetData>
    <row r="1" ht="36" customHeight="1" spans="1:1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6" t="s">
        <v>29</v>
      </c>
      <c r="B2" s="6"/>
      <c r="C2" s="7" t="s">
        <v>30</v>
      </c>
      <c r="D2" s="7"/>
      <c r="E2" s="6" t="s">
        <v>31</v>
      </c>
      <c r="F2" s="6"/>
      <c r="G2" s="7" t="s">
        <v>32</v>
      </c>
      <c r="H2" s="7"/>
      <c r="I2" s="7"/>
      <c r="J2" s="7"/>
      <c r="K2" s="7"/>
    </row>
    <row r="3" ht="24" customHeight="1" spans="1:11" x14ac:dyDescent="0.25">
      <c r="A3" s="6" t="s">
        <v>33</v>
      </c>
      <c r="B3" s="6"/>
      <c r="C3" s="8"/>
      <c r="D3" s="8"/>
      <c r="E3" s="6" t="s">
        <v>34</v>
      </c>
      <c r="F3" s="6"/>
      <c r="G3" s="9">
        <v>0.3333333333333333</v>
      </c>
      <c r="H3" s="9"/>
      <c r="I3" s="10" t="s">
        <v>35</v>
      </c>
      <c r="J3" s="10"/>
      <c r="K3" s="10"/>
    </row>
    <row r="4" ht="8" customHeight="1" x14ac:dyDescent="0.25"/>
    <row r="5" ht="22" customHeight="1" spans="1:11" x14ac:dyDescent="0.25">
      <c r="A5" s="11" t="s">
        <v>36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ht="26" customHeight="1" spans="2:8" x14ac:dyDescent="0.25">
      <c r="B6" s="12" t="s">
        <v>37</v>
      </c>
      <c r="C6" s="12" t="s">
        <v>38</v>
      </c>
      <c r="D6" s="12" t="s">
        <v>39</v>
      </c>
      <c r="E6" s="12" t="s">
        <v>40</v>
      </c>
      <c r="F6" s="12" t="s">
        <v>41</v>
      </c>
      <c r="G6" s="12" t="s">
        <v>42</v>
      </c>
      <c r="H6" s="12" t="s">
        <v>43</v>
      </c>
    </row>
    <row r="7" ht="22" customHeight="1" spans="2:8" x14ac:dyDescent="0.25">
      <c r="B7" s="13">
        <f>SUM(F9:F39)</f>
      </c>
      <c r="C7" s="13">
        <f>SUM(G9:G39)</f>
      </c>
      <c r="D7" s="13">
        <f>SUM(H9:H39)</f>
      </c>
      <c r="E7" s="13">
        <f>SUM(I9:I39)</f>
      </c>
      <c r="F7" s="13">
        <f>SUM(J9:J39)</f>
      </c>
      <c r="G7" s="14">
        <f>COUNTIF(F9:F39,"&gt;0")</f>
      </c>
      <c r="H7" s="14">
        <f>COUNTIF(B9:B39,"Domingo")</f>
      </c>
    </row>
    <row r="8" ht="28" customHeight="1" spans="1:11" x14ac:dyDescent="0.25">
      <c r="A8" s="15" t="s">
        <v>44</v>
      </c>
      <c r="B8" s="15" t="s">
        <v>45</v>
      </c>
      <c r="C8" s="15" t="s">
        <v>46</v>
      </c>
      <c r="D8" s="15" t="s">
        <v>47</v>
      </c>
      <c r="E8" s="15" t="s">
        <v>48</v>
      </c>
      <c r="F8" s="15" t="s">
        <v>37</v>
      </c>
      <c r="G8" s="15" t="s">
        <v>38</v>
      </c>
      <c r="H8" s="15" t="s">
        <v>39</v>
      </c>
      <c r="I8" s="15" t="s">
        <v>40</v>
      </c>
      <c r="J8" s="15" t="s">
        <v>41</v>
      </c>
      <c r="K8" s="15" t="s">
        <v>49</v>
      </c>
    </row>
    <row r="9" ht="18" customHeight="1" spans="1:11" x14ac:dyDescent="0.25">
      <c r="A9" s="16">
        <f>IF(MONTH(DATE(YEAR($C$3),MONTH($C$3),1))=MONTH($C$3),DATE(YEAR($C$3),MONTH($C$3),1),"")</f>
      </c>
      <c r="B9" s="17">
        <f>IF(A9="","",CHOOSE(WEEKDAY(A9,2),"Segunda","Terça","Quarta","Quinta","Sexta","Sábado","Domingo"))</f>
      </c>
      <c r="C9" s="18"/>
      <c r="D9" s="18"/>
      <c r="E9" s="18"/>
      <c r="F9" s="19">
        <f>IF(OR(C9="",D9=""),"",D9-C9-IF(E9="",0,E9))</f>
      </c>
      <c r="G9" s="20"/>
      <c r="H9" s="20"/>
      <c r="I9" s="20"/>
      <c r="J9" s="20"/>
      <c r="K9" s="21"/>
    </row>
    <row r="10" ht="18" customHeight="1" spans="1:11" x14ac:dyDescent="0.25">
      <c r="A10" s="16">
        <f>IF(MONTH(DATE(YEAR($C$3),MONTH($C$3),2))=MONTH($C$3),DATE(YEAR($C$3),MONTH($C$3),2),"")</f>
      </c>
      <c r="B10" s="17">
        <f>IF(A10="","",CHOOSE(WEEKDAY(A10,2),"Segunda","Terça","Quarta","Quinta","Sexta","Sábado","Domingo"))</f>
      </c>
      <c r="C10" s="18"/>
      <c r="D10" s="18"/>
      <c r="E10" s="18"/>
      <c r="F10" s="19">
        <f>IF(OR(C10="",D10=""),"",D10-C10-IF(E10="",0,E10))</f>
      </c>
      <c r="G10" s="20"/>
      <c r="H10" s="20"/>
      <c r="I10" s="20"/>
      <c r="J10" s="20"/>
      <c r="K10" s="21"/>
    </row>
    <row r="11" ht="18" customHeight="1" spans="1:11" x14ac:dyDescent="0.25">
      <c r="A11" s="16">
        <f>IF(MONTH(DATE(YEAR($C$3),MONTH($C$3),3))=MONTH($C$3),DATE(YEAR($C$3),MONTH($C$3),3),"")</f>
      </c>
      <c r="B11" s="17">
        <f>IF(A11="","",CHOOSE(WEEKDAY(A11,2),"Segunda","Terça","Quarta","Quinta","Sexta","Sábado","Domingo"))</f>
      </c>
      <c r="C11" s="18"/>
      <c r="D11" s="18"/>
      <c r="E11" s="18"/>
      <c r="F11" s="19">
        <f>IF(OR(C11="",D11=""),"",D11-C11-IF(E11="",0,E11))</f>
      </c>
      <c r="G11" s="20"/>
      <c r="H11" s="20"/>
      <c r="I11" s="20"/>
      <c r="J11" s="20"/>
      <c r="K11" s="21"/>
    </row>
    <row r="12" ht="18" customHeight="1" spans="1:11" x14ac:dyDescent="0.25">
      <c r="A12" s="16">
        <f>IF(MONTH(DATE(YEAR($C$3),MONTH($C$3),4))=MONTH($C$3),DATE(YEAR($C$3),MONTH($C$3),4),"")</f>
      </c>
      <c r="B12" s="17">
        <f>IF(A12="","",CHOOSE(WEEKDAY(A12,2),"Segunda","Terça","Quarta","Quinta","Sexta","Sábado","Domingo"))</f>
      </c>
      <c r="C12" s="18"/>
      <c r="D12" s="18"/>
      <c r="E12" s="18"/>
      <c r="F12" s="19">
        <f>IF(OR(C12="",D12=""),"",D12-C12-IF(E12="",0,E12))</f>
      </c>
      <c r="G12" s="20"/>
      <c r="H12" s="20"/>
      <c r="I12" s="20"/>
      <c r="J12" s="20"/>
      <c r="K12" s="21"/>
    </row>
    <row r="13" ht="18" customHeight="1" spans="1:11" x14ac:dyDescent="0.25">
      <c r="A13" s="16">
        <f>IF(MONTH(DATE(YEAR($C$3),MONTH($C$3),5))=MONTH($C$3),DATE(YEAR($C$3),MONTH($C$3),5),"")</f>
      </c>
      <c r="B13" s="17">
        <f>IF(A13="","",CHOOSE(WEEKDAY(A13,2),"Segunda","Terça","Quarta","Quinta","Sexta","Sábado","Domingo"))</f>
      </c>
      <c r="C13" s="18"/>
      <c r="D13" s="18"/>
      <c r="E13" s="18"/>
      <c r="F13" s="19">
        <f>IF(OR(C13="",D13=""),"",D13-C13-IF(E13="",0,E13))</f>
      </c>
      <c r="G13" s="20"/>
      <c r="H13" s="20"/>
      <c r="I13" s="20"/>
      <c r="J13" s="20"/>
      <c r="K13" s="21"/>
    </row>
    <row r="14" ht="18" customHeight="1" spans="1:11" x14ac:dyDescent="0.25">
      <c r="A14" s="16">
        <f>IF(MONTH(DATE(YEAR($C$3),MONTH($C$3),6))=MONTH($C$3),DATE(YEAR($C$3),MONTH($C$3),6),"")</f>
      </c>
      <c r="B14" s="17">
        <f>IF(A14="","",CHOOSE(WEEKDAY(A14,2),"Segunda","Terça","Quarta","Quinta","Sexta","Sábado","Domingo"))</f>
      </c>
      <c r="C14" s="18"/>
      <c r="D14" s="18"/>
      <c r="E14" s="18"/>
      <c r="F14" s="19">
        <f>IF(OR(C14="",D14=""),"",D14-C14-IF(E14="",0,E14))</f>
      </c>
      <c r="G14" s="20"/>
      <c r="H14" s="20"/>
      <c r="I14" s="20"/>
      <c r="J14" s="20"/>
      <c r="K14" s="21"/>
    </row>
    <row r="15" ht="18" customHeight="1" spans="1:11" x14ac:dyDescent="0.25">
      <c r="A15" s="16">
        <f>IF(MONTH(DATE(YEAR($C$3),MONTH($C$3),7))=MONTH($C$3),DATE(YEAR($C$3),MONTH($C$3),7),"")</f>
      </c>
      <c r="B15" s="17">
        <f>IF(A15="","",CHOOSE(WEEKDAY(A15,2),"Segunda","Terça","Quarta","Quinta","Sexta","Sábado","Domingo"))</f>
      </c>
      <c r="C15" s="18"/>
      <c r="D15" s="18"/>
      <c r="E15" s="18"/>
      <c r="F15" s="19">
        <f>IF(OR(C15="",D15=""),"",D15-C15-IF(E15="",0,E15))</f>
      </c>
      <c r="G15" s="20"/>
      <c r="H15" s="20"/>
      <c r="I15" s="20"/>
      <c r="J15" s="20"/>
      <c r="K15" s="21"/>
    </row>
    <row r="16" ht="18" customHeight="1" spans="1:11" x14ac:dyDescent="0.25">
      <c r="A16" s="16">
        <f>IF(MONTH(DATE(YEAR($C$3),MONTH($C$3),8))=MONTH($C$3),DATE(YEAR($C$3),MONTH($C$3),8),"")</f>
      </c>
      <c r="B16" s="17">
        <f>IF(A16="","",CHOOSE(WEEKDAY(A16,2),"Segunda","Terça","Quarta","Quinta","Sexta","Sábado","Domingo"))</f>
      </c>
      <c r="C16" s="18"/>
      <c r="D16" s="18"/>
      <c r="E16" s="18"/>
      <c r="F16" s="19">
        <f>IF(OR(C16="",D16=""),"",D16-C16-IF(E16="",0,E16))</f>
      </c>
      <c r="G16" s="20"/>
      <c r="H16" s="20"/>
      <c r="I16" s="20"/>
      <c r="J16" s="20"/>
      <c r="K16" s="21"/>
    </row>
    <row r="17" ht="18" customHeight="1" spans="1:11" x14ac:dyDescent="0.25">
      <c r="A17" s="16">
        <f>IF(MONTH(DATE(YEAR($C$3),MONTH($C$3),9))=MONTH($C$3),DATE(YEAR($C$3),MONTH($C$3),9),"")</f>
      </c>
      <c r="B17" s="17">
        <f>IF(A17="","",CHOOSE(WEEKDAY(A17,2),"Segunda","Terça","Quarta","Quinta","Sexta","Sábado","Domingo"))</f>
      </c>
      <c r="C17" s="18"/>
      <c r="D17" s="18"/>
      <c r="E17" s="18"/>
      <c r="F17" s="19">
        <f>IF(OR(C17="",D17=""),"",D17-C17-IF(E17="",0,E17))</f>
      </c>
      <c r="G17" s="20"/>
      <c r="H17" s="20"/>
      <c r="I17" s="20"/>
      <c r="J17" s="20"/>
      <c r="K17" s="21"/>
    </row>
    <row r="18" ht="18" customHeight="1" spans="1:11" x14ac:dyDescent="0.25">
      <c r="A18" s="16">
        <f>IF(MONTH(DATE(YEAR($C$3),MONTH($C$3),10))=MONTH($C$3),DATE(YEAR($C$3),MONTH($C$3),10),"")</f>
      </c>
      <c r="B18" s="17">
        <f>IF(A18="","",CHOOSE(WEEKDAY(A18,2),"Segunda","Terça","Quarta","Quinta","Sexta","Sábado","Domingo"))</f>
      </c>
      <c r="C18" s="18"/>
      <c r="D18" s="18"/>
      <c r="E18" s="18"/>
      <c r="F18" s="19">
        <f>IF(OR(C18="",D18=""),"",D18-C18-IF(E18="",0,E18))</f>
      </c>
      <c r="G18" s="20"/>
      <c r="H18" s="20"/>
      <c r="I18" s="20"/>
      <c r="J18" s="20"/>
      <c r="K18" s="21"/>
    </row>
    <row r="19" ht="18" customHeight="1" spans="1:11" x14ac:dyDescent="0.25">
      <c r="A19" s="16">
        <f>IF(MONTH(DATE(YEAR($C$3),MONTH($C$3),11))=MONTH($C$3),DATE(YEAR($C$3),MONTH($C$3),11),"")</f>
      </c>
      <c r="B19" s="17">
        <f>IF(A19="","",CHOOSE(WEEKDAY(A19,2),"Segunda","Terça","Quarta","Quinta","Sexta","Sábado","Domingo"))</f>
      </c>
      <c r="C19" s="18"/>
      <c r="D19" s="18"/>
      <c r="E19" s="18"/>
      <c r="F19" s="19">
        <f>IF(OR(C19="",D19=""),"",D19-C19-IF(E19="",0,E19))</f>
      </c>
      <c r="G19" s="20"/>
      <c r="H19" s="20"/>
      <c r="I19" s="20"/>
      <c r="J19" s="20"/>
      <c r="K19" s="21"/>
    </row>
    <row r="20" ht="18" customHeight="1" spans="1:11" x14ac:dyDescent="0.25">
      <c r="A20" s="16">
        <f>IF(MONTH(DATE(YEAR($C$3),MONTH($C$3),12))=MONTH($C$3),DATE(YEAR($C$3),MONTH($C$3),12),"")</f>
      </c>
      <c r="B20" s="17">
        <f>IF(A20="","",CHOOSE(WEEKDAY(A20,2),"Segunda","Terça","Quarta","Quinta","Sexta","Sábado","Domingo"))</f>
      </c>
      <c r="C20" s="18"/>
      <c r="D20" s="18"/>
      <c r="E20" s="18"/>
      <c r="F20" s="19">
        <f>IF(OR(C20="",D20=""),"",D20-C20-IF(E20="",0,E20))</f>
      </c>
      <c r="G20" s="20"/>
      <c r="H20" s="20"/>
      <c r="I20" s="20"/>
      <c r="J20" s="20"/>
      <c r="K20" s="21"/>
    </row>
    <row r="21" ht="18" customHeight="1" spans="1:11" x14ac:dyDescent="0.25">
      <c r="A21" s="16">
        <f>IF(MONTH(DATE(YEAR($C$3),MONTH($C$3),13))=MONTH($C$3),DATE(YEAR($C$3),MONTH($C$3),13),"")</f>
      </c>
      <c r="B21" s="17">
        <f>IF(A21="","",CHOOSE(WEEKDAY(A21,2),"Segunda","Terça","Quarta","Quinta","Sexta","Sábado","Domingo"))</f>
      </c>
      <c r="C21" s="18"/>
      <c r="D21" s="18"/>
      <c r="E21" s="18"/>
      <c r="F21" s="19">
        <f>IF(OR(C21="",D21=""),"",D21-C21-IF(E21="",0,E21))</f>
      </c>
      <c r="G21" s="20"/>
      <c r="H21" s="20"/>
      <c r="I21" s="20"/>
      <c r="J21" s="20"/>
      <c r="K21" s="21"/>
    </row>
    <row r="22" ht="18" customHeight="1" spans="1:11" x14ac:dyDescent="0.25">
      <c r="A22" s="16">
        <f>IF(MONTH(DATE(YEAR($C$3),MONTH($C$3),14))=MONTH($C$3),DATE(YEAR($C$3),MONTH($C$3),14),"")</f>
      </c>
      <c r="B22" s="17">
        <f>IF(A22="","",CHOOSE(WEEKDAY(A22,2),"Segunda","Terça","Quarta","Quinta","Sexta","Sábado","Domingo"))</f>
      </c>
      <c r="C22" s="18"/>
      <c r="D22" s="18"/>
      <c r="E22" s="18"/>
      <c r="F22" s="19">
        <f>IF(OR(C22="",D22=""),"",D22-C22-IF(E22="",0,E22))</f>
      </c>
      <c r="G22" s="20"/>
      <c r="H22" s="20"/>
      <c r="I22" s="20"/>
      <c r="J22" s="20"/>
      <c r="K22" s="21"/>
    </row>
    <row r="23" ht="18" customHeight="1" spans="1:11" x14ac:dyDescent="0.25">
      <c r="A23" s="16">
        <f>IF(MONTH(DATE(YEAR($C$3),MONTH($C$3),15))=MONTH($C$3),DATE(YEAR($C$3),MONTH($C$3),15),"")</f>
      </c>
      <c r="B23" s="17">
        <f>IF(A23="","",CHOOSE(WEEKDAY(A23,2),"Segunda","Terça","Quarta","Quinta","Sexta","Sábado","Domingo"))</f>
      </c>
      <c r="C23" s="18"/>
      <c r="D23" s="18"/>
      <c r="E23" s="18"/>
      <c r="F23" s="19">
        <f>IF(OR(C23="",D23=""),"",D23-C23-IF(E23="",0,E23))</f>
      </c>
      <c r="G23" s="20"/>
      <c r="H23" s="20"/>
      <c r="I23" s="20"/>
      <c r="J23" s="20"/>
      <c r="K23" s="21"/>
    </row>
    <row r="24" ht="18" customHeight="1" spans="1:11" x14ac:dyDescent="0.25">
      <c r="A24" s="16">
        <f>IF(MONTH(DATE(YEAR($C$3),MONTH($C$3),16))=MONTH($C$3),DATE(YEAR($C$3),MONTH($C$3),16),"")</f>
      </c>
      <c r="B24" s="17">
        <f>IF(A24="","",CHOOSE(WEEKDAY(A24,2),"Segunda","Terça","Quarta","Quinta","Sexta","Sábado","Domingo"))</f>
      </c>
      <c r="C24" s="18"/>
      <c r="D24" s="18"/>
      <c r="E24" s="18"/>
      <c r="F24" s="19">
        <f>IF(OR(C24="",D24=""),"",D24-C24-IF(E24="",0,E24))</f>
      </c>
      <c r="G24" s="20"/>
      <c r="H24" s="20"/>
      <c r="I24" s="20"/>
      <c r="J24" s="20"/>
      <c r="K24" s="21"/>
    </row>
    <row r="25" ht="18" customHeight="1" spans="1:11" x14ac:dyDescent="0.25">
      <c r="A25" s="16">
        <f>IF(MONTH(DATE(YEAR($C$3),MONTH($C$3),17))=MONTH($C$3),DATE(YEAR($C$3),MONTH($C$3),17),"")</f>
      </c>
      <c r="B25" s="17">
        <f>IF(A25="","",CHOOSE(WEEKDAY(A25,2),"Segunda","Terça","Quarta","Quinta","Sexta","Sábado","Domingo"))</f>
      </c>
      <c r="C25" s="18"/>
      <c r="D25" s="18"/>
      <c r="E25" s="18"/>
      <c r="F25" s="19">
        <f>IF(OR(C25="",D25=""),"",D25-C25-IF(E25="",0,E25))</f>
      </c>
      <c r="G25" s="20"/>
      <c r="H25" s="20"/>
      <c r="I25" s="20"/>
      <c r="J25" s="20"/>
      <c r="K25" s="21"/>
    </row>
    <row r="26" ht="18" customHeight="1" spans="1:11" x14ac:dyDescent="0.25">
      <c r="A26" s="16">
        <f>IF(MONTH(DATE(YEAR($C$3),MONTH($C$3),18))=MONTH($C$3),DATE(YEAR($C$3),MONTH($C$3),18),"")</f>
      </c>
      <c r="B26" s="17">
        <f>IF(A26="","",CHOOSE(WEEKDAY(A26,2),"Segunda","Terça","Quarta","Quinta","Sexta","Sábado","Domingo"))</f>
      </c>
      <c r="C26" s="18"/>
      <c r="D26" s="18"/>
      <c r="E26" s="18"/>
      <c r="F26" s="19">
        <f>IF(OR(C26="",D26=""),"",D26-C26-IF(E26="",0,E26))</f>
      </c>
      <c r="G26" s="20"/>
      <c r="H26" s="20"/>
      <c r="I26" s="20"/>
      <c r="J26" s="20"/>
      <c r="K26" s="21"/>
    </row>
    <row r="27" ht="18" customHeight="1" spans="1:11" x14ac:dyDescent="0.25">
      <c r="A27" s="16">
        <f>IF(MONTH(DATE(YEAR($C$3),MONTH($C$3),19))=MONTH($C$3),DATE(YEAR($C$3),MONTH($C$3),19),"")</f>
      </c>
      <c r="B27" s="17">
        <f>IF(A27="","",CHOOSE(WEEKDAY(A27,2),"Segunda","Terça","Quarta","Quinta","Sexta","Sábado","Domingo"))</f>
      </c>
      <c r="C27" s="18"/>
      <c r="D27" s="18"/>
      <c r="E27" s="18"/>
      <c r="F27" s="19">
        <f>IF(OR(C27="",D27=""),"",D27-C27-IF(E27="",0,E27))</f>
      </c>
      <c r="G27" s="20"/>
      <c r="H27" s="20"/>
      <c r="I27" s="20"/>
      <c r="J27" s="20"/>
      <c r="K27" s="21"/>
    </row>
    <row r="28" ht="18" customHeight="1" spans="1:11" x14ac:dyDescent="0.25">
      <c r="A28" s="16">
        <f>IF(MONTH(DATE(YEAR($C$3),MONTH($C$3),20))=MONTH($C$3),DATE(YEAR($C$3),MONTH($C$3),20),"")</f>
      </c>
      <c r="B28" s="17">
        <f>IF(A28="","",CHOOSE(WEEKDAY(A28,2),"Segunda","Terça","Quarta","Quinta","Sexta","Sábado","Domingo"))</f>
      </c>
      <c r="C28" s="18"/>
      <c r="D28" s="18"/>
      <c r="E28" s="18"/>
      <c r="F28" s="19">
        <f>IF(OR(C28="",D28=""),"",D28-C28-IF(E28="",0,E28))</f>
      </c>
      <c r="G28" s="20"/>
      <c r="H28" s="20"/>
      <c r="I28" s="20"/>
      <c r="J28" s="20"/>
      <c r="K28" s="21"/>
    </row>
    <row r="29" ht="18" customHeight="1" spans="1:11" x14ac:dyDescent="0.25">
      <c r="A29" s="16">
        <f>IF(MONTH(DATE(YEAR($C$3),MONTH($C$3),21))=MONTH($C$3),DATE(YEAR($C$3),MONTH($C$3),21),"")</f>
      </c>
      <c r="B29" s="17">
        <f>IF(A29="","",CHOOSE(WEEKDAY(A29,2),"Segunda","Terça","Quarta","Quinta","Sexta","Sábado","Domingo"))</f>
      </c>
      <c r="C29" s="18"/>
      <c r="D29" s="18"/>
      <c r="E29" s="18"/>
      <c r="F29" s="19">
        <f>IF(OR(C29="",D29=""),"",D29-C29-IF(E29="",0,E29))</f>
      </c>
      <c r="G29" s="20"/>
      <c r="H29" s="20"/>
      <c r="I29" s="20"/>
      <c r="J29" s="20"/>
      <c r="K29" s="21"/>
    </row>
    <row r="30" ht="18" customHeight="1" spans="1:11" x14ac:dyDescent="0.25">
      <c r="A30" s="16">
        <f>IF(MONTH(DATE(YEAR($C$3),MONTH($C$3),22))=MONTH($C$3),DATE(YEAR($C$3),MONTH($C$3),22),"")</f>
      </c>
      <c r="B30" s="17">
        <f>IF(A30="","",CHOOSE(WEEKDAY(A30,2),"Segunda","Terça","Quarta","Quinta","Sexta","Sábado","Domingo"))</f>
      </c>
      <c r="C30" s="18"/>
      <c r="D30" s="18"/>
      <c r="E30" s="18"/>
      <c r="F30" s="19">
        <f>IF(OR(C30="",D30=""),"",D30-C30-IF(E30="",0,E30))</f>
      </c>
      <c r="G30" s="20"/>
      <c r="H30" s="20"/>
      <c r="I30" s="20"/>
      <c r="J30" s="20"/>
      <c r="K30" s="21"/>
    </row>
    <row r="31" ht="18" customHeight="1" spans="1:11" x14ac:dyDescent="0.25">
      <c r="A31" s="16">
        <f>IF(MONTH(DATE(YEAR($C$3),MONTH($C$3),23))=MONTH($C$3),DATE(YEAR($C$3),MONTH($C$3),23),"")</f>
      </c>
      <c r="B31" s="17">
        <f>IF(A31="","",CHOOSE(WEEKDAY(A31,2),"Segunda","Terça","Quarta","Quinta","Sexta","Sábado","Domingo"))</f>
      </c>
      <c r="C31" s="18"/>
      <c r="D31" s="18"/>
      <c r="E31" s="18"/>
      <c r="F31" s="19">
        <f>IF(OR(C31="",D31=""),"",D31-C31-IF(E31="",0,E31))</f>
      </c>
      <c r="G31" s="20"/>
      <c r="H31" s="20"/>
      <c r="I31" s="20"/>
      <c r="J31" s="20"/>
      <c r="K31" s="21"/>
    </row>
    <row r="32" ht="18" customHeight="1" spans="1:11" x14ac:dyDescent="0.25">
      <c r="A32" s="16">
        <f>IF(MONTH(DATE(YEAR($C$3),MONTH($C$3),24))=MONTH($C$3),DATE(YEAR($C$3),MONTH($C$3),24),"")</f>
      </c>
      <c r="B32" s="17">
        <f>IF(A32="","",CHOOSE(WEEKDAY(A32,2),"Segunda","Terça","Quarta","Quinta","Sexta","Sábado","Domingo"))</f>
      </c>
      <c r="C32" s="18"/>
      <c r="D32" s="18"/>
      <c r="E32" s="18"/>
      <c r="F32" s="19">
        <f>IF(OR(C32="",D32=""),"",D32-C32-IF(E32="",0,E32))</f>
      </c>
      <c r="G32" s="20"/>
      <c r="H32" s="20"/>
      <c r="I32" s="20"/>
      <c r="J32" s="20"/>
      <c r="K32" s="21"/>
    </row>
    <row r="33" ht="18" customHeight="1" spans="1:11" x14ac:dyDescent="0.25">
      <c r="A33" s="16">
        <f>IF(MONTH(DATE(YEAR($C$3),MONTH($C$3),25))=MONTH($C$3),DATE(YEAR($C$3),MONTH($C$3),25),"")</f>
      </c>
      <c r="B33" s="17">
        <f>IF(A33="","",CHOOSE(WEEKDAY(A33,2),"Segunda","Terça","Quarta","Quinta","Sexta","Sábado","Domingo"))</f>
      </c>
      <c r="C33" s="18"/>
      <c r="D33" s="18"/>
      <c r="E33" s="18"/>
      <c r="F33" s="19">
        <f>IF(OR(C33="",D33=""),"",D33-C33-IF(E33="",0,E33))</f>
      </c>
      <c r="G33" s="20"/>
      <c r="H33" s="20"/>
      <c r="I33" s="20"/>
      <c r="J33" s="20"/>
      <c r="K33" s="21"/>
    </row>
    <row r="34" ht="18" customHeight="1" spans="1:11" x14ac:dyDescent="0.25">
      <c r="A34" s="16">
        <f>IF(MONTH(DATE(YEAR($C$3),MONTH($C$3),26))=MONTH($C$3),DATE(YEAR($C$3),MONTH($C$3),26),"")</f>
      </c>
      <c r="B34" s="17">
        <f>IF(A34="","",CHOOSE(WEEKDAY(A34,2),"Segunda","Terça","Quarta","Quinta","Sexta","Sábado","Domingo"))</f>
      </c>
      <c r="C34" s="18"/>
      <c r="D34" s="18"/>
      <c r="E34" s="18"/>
      <c r="F34" s="19">
        <f>IF(OR(C34="",D34=""),"",D34-C34-IF(E34="",0,E34))</f>
      </c>
      <c r="G34" s="20"/>
      <c r="H34" s="20"/>
      <c r="I34" s="20"/>
      <c r="J34" s="20"/>
      <c r="K34" s="21"/>
    </row>
    <row r="35" ht="18" customHeight="1" spans="1:11" x14ac:dyDescent="0.25">
      <c r="A35" s="16">
        <f>IF(MONTH(DATE(YEAR($C$3),MONTH($C$3),27))=MONTH($C$3),DATE(YEAR($C$3),MONTH($C$3),27),"")</f>
      </c>
      <c r="B35" s="17">
        <f>IF(A35="","",CHOOSE(WEEKDAY(A35,2),"Segunda","Terça","Quarta","Quinta","Sexta","Sábado","Domingo"))</f>
      </c>
      <c r="C35" s="18"/>
      <c r="D35" s="18"/>
      <c r="E35" s="18"/>
      <c r="F35" s="19">
        <f>IF(OR(C35="",D35=""),"",D35-C35-IF(E35="",0,E35))</f>
      </c>
      <c r="G35" s="20"/>
      <c r="H35" s="20"/>
      <c r="I35" s="20"/>
      <c r="J35" s="20"/>
      <c r="K35" s="21"/>
    </row>
    <row r="36" ht="18" customHeight="1" spans="1:11" x14ac:dyDescent="0.25">
      <c r="A36" s="16">
        <f>IF(MONTH(DATE(YEAR($C$3),MONTH($C$3),28))=MONTH($C$3),DATE(YEAR($C$3),MONTH($C$3),28),"")</f>
      </c>
      <c r="B36" s="17">
        <f>IF(A36="","",CHOOSE(WEEKDAY(A36,2),"Segunda","Terça","Quarta","Quinta","Sexta","Sábado","Domingo"))</f>
      </c>
      <c r="C36" s="18"/>
      <c r="D36" s="18"/>
      <c r="E36" s="18"/>
      <c r="F36" s="19">
        <f>IF(OR(C36="",D36=""),"",D36-C36-IF(E36="",0,E36))</f>
      </c>
      <c r="G36" s="20"/>
      <c r="H36" s="20"/>
      <c r="I36" s="20"/>
      <c r="J36" s="20"/>
      <c r="K36" s="21"/>
    </row>
    <row r="37" ht="18" customHeight="1" spans="1:11" x14ac:dyDescent="0.25">
      <c r="A37" s="16">
        <f>IF(MONTH(DATE(YEAR($C$3),MONTH($C$3),29))=MONTH($C$3),DATE(YEAR($C$3),MONTH($C$3),29),"")</f>
      </c>
      <c r="B37" s="17">
        <f>IF(A37="","",CHOOSE(WEEKDAY(A37,2),"Segunda","Terça","Quarta","Quinta","Sexta","Sábado","Domingo"))</f>
      </c>
      <c r="C37" s="18"/>
      <c r="D37" s="18"/>
      <c r="E37" s="18"/>
      <c r="F37" s="19">
        <f>IF(OR(C37="",D37=""),"",D37-C37-IF(E37="",0,E37))</f>
      </c>
      <c r="G37" s="20"/>
      <c r="H37" s="20"/>
      <c r="I37" s="20"/>
      <c r="J37" s="20"/>
      <c r="K37" s="21"/>
    </row>
    <row r="38" ht="18" customHeight="1" spans="1:11" x14ac:dyDescent="0.25">
      <c r="A38" s="16">
        <f>IF(MONTH(DATE(YEAR($C$3),MONTH($C$3),30))=MONTH($C$3),DATE(YEAR($C$3),MONTH($C$3),30),"")</f>
      </c>
      <c r="B38" s="17">
        <f>IF(A38="","",CHOOSE(WEEKDAY(A38,2),"Segunda","Terça","Quarta","Quinta","Sexta","Sábado","Domingo"))</f>
      </c>
      <c r="C38" s="18"/>
      <c r="D38" s="18"/>
      <c r="E38" s="18"/>
      <c r="F38" s="19">
        <f>IF(OR(C38="",D38=""),"",D38-C38-IF(E38="",0,E38))</f>
      </c>
      <c r="G38" s="20"/>
      <c r="H38" s="20"/>
      <c r="I38" s="20"/>
      <c r="J38" s="20"/>
      <c r="K38" s="21"/>
    </row>
    <row r="39" ht="18" customHeight="1" spans="1:11" x14ac:dyDescent="0.25">
      <c r="A39" s="16">
        <f>IF(MONTH(DATE(YEAR($C$3),MONTH($C$3),31))=MONTH($C$3),DATE(YEAR($C$3),MONTH($C$3),31),"")</f>
      </c>
      <c r="B39" s="17">
        <f>IF(A39="","",CHOOSE(WEEKDAY(A39,2),"Segunda","Terça","Quarta","Quinta","Sexta","Sábado","Domingo"))</f>
      </c>
      <c r="C39" s="18"/>
      <c r="D39" s="18"/>
      <c r="E39" s="18"/>
      <c r="F39" s="19">
        <f>IF(OR(C39="",D39=""),"",D39-C39-IF(E39="",0,E39))</f>
      </c>
      <c r="G39" s="20"/>
      <c r="H39" s="20"/>
      <c r="I39" s="20"/>
      <c r="J39" s="20"/>
      <c r="K39" s="21"/>
    </row>
  </sheetData>
  <mergeCells count="11">
    <mergeCell ref="A1:K1"/>
    <mergeCell ref="A2:B2"/>
    <mergeCell ref="C2:D2"/>
    <mergeCell ref="E2:F2"/>
    <mergeCell ref="G2:K2"/>
    <mergeCell ref="A3:B3"/>
    <mergeCell ref="C3:D3"/>
    <mergeCell ref="E3:F3"/>
    <mergeCell ref="G3:H3"/>
    <mergeCell ref="I3:K3"/>
    <mergeCell ref="A5:K5"/>
  </mergeCells>
  <conditionalFormatting sqref="A9:K39">
    <cfRule type="expression" dxfId="0" priority="1">
      <formula>$B9="Domingo"</formula>
    </cfRule>
    <cfRule type="expression" dxfId="1" priority="2">
      <formula>$B9="Sábado"</formula>
    </cfRule>
  </conditionalFormatting>
  <conditionalFormatting sqref="A9:K39">
    <cfRule type="expression" dxfId="2" priority="3">
      <formula>AND(MOD(ROW(),2)=1,$B9&lt;&gt;"Domingo",$B9&lt;&gt;"Sábado",$A9&lt;&gt;"")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0" customWidth="1"/>
    <col min="5" max="5" width="12" customWidth="1"/>
    <col min="6" max="6" width="14" customWidth="1"/>
    <col min="7" max="10" width="12" customWidth="1"/>
    <col min="11" max="11" width="30" customWidth="1"/>
  </cols>
  <sheetData>
    <row r="1" ht="36" customHeight="1" spans="1:1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6" t="s">
        <v>29</v>
      </c>
      <c r="B2" s="6"/>
      <c r="C2" s="7" t="s">
        <v>50</v>
      </c>
      <c r="D2" s="7"/>
      <c r="E2" s="6" t="s">
        <v>31</v>
      </c>
      <c r="F2" s="6"/>
      <c r="G2" s="7" t="s">
        <v>51</v>
      </c>
      <c r="H2" s="7"/>
      <c r="I2" s="7"/>
      <c r="J2" s="7"/>
      <c r="K2" s="7"/>
    </row>
    <row r="3" ht="24" customHeight="1" spans="1:11" x14ac:dyDescent="0.25">
      <c r="A3" s="6" t="s">
        <v>33</v>
      </c>
      <c r="B3" s="6"/>
      <c r="C3" s="8">
        <v>45748</v>
      </c>
      <c r="D3" s="8"/>
      <c r="E3" s="6" t="s">
        <v>34</v>
      </c>
      <c r="F3" s="6"/>
      <c r="G3" s="9">
        <v>0.3333333333333333</v>
      </c>
      <c r="H3" s="9"/>
      <c r="I3" s="10" t="s">
        <v>35</v>
      </c>
      <c r="J3" s="10"/>
      <c r="K3" s="10"/>
    </row>
    <row r="4" ht="8" customHeight="1" x14ac:dyDescent="0.25"/>
    <row r="5" ht="22" customHeight="1" spans="1:11" x14ac:dyDescent="0.25">
      <c r="A5" s="11" t="s">
        <v>36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ht="26" customHeight="1" spans="2:8" x14ac:dyDescent="0.25">
      <c r="B6" s="12" t="s">
        <v>37</v>
      </c>
      <c r="C6" s="12" t="s">
        <v>38</v>
      </c>
      <c r="D6" s="12" t="s">
        <v>39</v>
      </c>
      <c r="E6" s="12" t="s">
        <v>40</v>
      </c>
      <c r="F6" s="12" t="s">
        <v>41</v>
      </c>
      <c r="G6" s="12" t="s">
        <v>42</v>
      </c>
      <c r="H6" s="12" t="s">
        <v>43</v>
      </c>
    </row>
    <row r="7" ht="22" customHeight="1" spans="2:8" x14ac:dyDescent="0.25">
      <c r="B7" s="13">
        <f>SUM(F9:F39)</f>
      </c>
      <c r="C7" s="13">
        <f>SUM(G9:G39)</f>
      </c>
      <c r="D7" s="13">
        <f>SUM(H9:H39)</f>
      </c>
      <c r="E7" s="13">
        <f>SUM(I9:I39)</f>
      </c>
      <c r="F7" s="13">
        <f>SUM(J9:J39)</f>
      </c>
      <c r="G7" s="14">
        <f>COUNTIF(F9:F39,"&gt;0")</f>
      </c>
      <c r="H7" s="14">
        <f>COUNTIF(B9:B39,"Domingo")</f>
      </c>
    </row>
    <row r="8" ht="28" customHeight="1" spans="1:11" x14ac:dyDescent="0.25">
      <c r="A8" s="15" t="s">
        <v>44</v>
      </c>
      <c r="B8" s="15" t="s">
        <v>45</v>
      </c>
      <c r="C8" s="15" t="s">
        <v>46</v>
      </c>
      <c r="D8" s="15" t="s">
        <v>47</v>
      </c>
      <c r="E8" s="15" t="s">
        <v>48</v>
      </c>
      <c r="F8" s="15" t="s">
        <v>37</v>
      </c>
      <c r="G8" s="15" t="s">
        <v>38</v>
      </c>
      <c r="H8" s="15" t="s">
        <v>39</v>
      </c>
      <c r="I8" s="15" t="s">
        <v>40</v>
      </c>
      <c r="J8" s="15" t="s">
        <v>41</v>
      </c>
      <c r="K8" s="15" t="s">
        <v>49</v>
      </c>
    </row>
    <row r="9" ht="18" customHeight="1" spans="1:11" x14ac:dyDescent="0.25">
      <c r="A9" s="16">
        <f>IF(MONTH(DATE(YEAR($C$3),MONTH($C$3),1))=MONTH($C$3),DATE(YEAR($C$3),MONTH($C$3),1),"")</f>
      </c>
      <c r="B9" s="17">
        <f>IF(A9="","",CHOOSE(WEEKDAY(A9,2),"Segunda","Terça","Quarta","Quinta","Sexta","Sábado","Domingo"))</f>
      </c>
      <c r="C9" s="18">
        <v>0.3333333333333333</v>
      </c>
      <c r="D9" s="18">
        <v>0.7083333333333334</v>
      </c>
      <c r="E9" s="18">
        <v>0.041666666666666664</v>
      </c>
      <c r="F9" s="19">
        <f>IF(OR(C9="",D9=""),"",D9-C9-IF(E9="",0,E9))</f>
      </c>
      <c r="G9" s="20"/>
      <c r="H9" s="20"/>
      <c r="I9" s="20"/>
      <c r="J9" s="20"/>
      <c r="K9" s="21"/>
    </row>
    <row r="10" ht="18" customHeight="1" spans="1:11" x14ac:dyDescent="0.25">
      <c r="A10" s="16">
        <f>IF(MONTH(DATE(YEAR($C$3),MONTH($C$3),2))=MONTH($C$3),DATE(YEAR($C$3),MONTH($C$3),2),"")</f>
      </c>
      <c r="B10" s="17">
        <f>IF(A10="","",CHOOSE(WEEKDAY(A10,2),"Segunda","Terça","Quarta","Quinta","Sexta","Sábado","Domingo"))</f>
      </c>
      <c r="C10" s="18">
        <v>0.3333333333333333</v>
      </c>
      <c r="D10" s="18">
        <v>0.7291666666666666</v>
      </c>
      <c r="E10" s="18">
        <v>0.041666666666666664</v>
      </c>
      <c r="F10" s="19">
        <f>IF(OR(C10="",D10=""),"",D10-C10-IF(E10="",0,E10))</f>
      </c>
      <c r="G10" s="20">
        <v>0.020833333333333332</v>
      </c>
      <c r="H10" s="20"/>
      <c r="I10" s="20"/>
      <c r="J10" s="20"/>
      <c r="K10" s="21"/>
    </row>
    <row r="11" ht="18" customHeight="1" spans="1:11" x14ac:dyDescent="0.25">
      <c r="A11" s="16">
        <f>IF(MONTH(DATE(YEAR($C$3),MONTH($C$3),3))=MONTH($C$3),DATE(YEAR($C$3),MONTH($C$3),3),"")</f>
      </c>
      <c r="B11" s="17">
        <f>IF(A11="","",CHOOSE(WEEKDAY(A11,2),"Segunda","Terça","Quarta","Quinta","Sexta","Sábado","Domingo"))</f>
      </c>
      <c r="C11" s="18">
        <v>0.34375</v>
      </c>
      <c r="D11" s="18">
        <v>0.7083333333333334</v>
      </c>
      <c r="E11" s="18">
        <v>0.041666666666666664</v>
      </c>
      <c r="F11" s="19">
        <f>IF(OR(C11="",D11=""),"",D11-C11-IF(E11="",0,E11))</f>
      </c>
      <c r="G11" s="20"/>
      <c r="H11" s="20"/>
      <c r="I11" s="20">
        <v>0.010416666666666666</v>
      </c>
      <c r="J11" s="20"/>
      <c r="K11" s="21"/>
    </row>
    <row r="12" ht="18" customHeight="1" spans="1:11" x14ac:dyDescent="0.25">
      <c r="A12" s="16">
        <f>IF(MONTH(DATE(YEAR($C$3),MONTH($C$3),4))=MONTH($C$3),DATE(YEAR($C$3),MONTH($C$3),4),"")</f>
      </c>
      <c r="B12" s="17">
        <f>IF(A12="","",CHOOSE(WEEKDAY(A12,2),"Segunda","Terça","Quarta","Quinta","Sexta","Sábado","Domingo"))</f>
      </c>
      <c r="C12" s="18">
        <v>0.3333333333333333</v>
      </c>
      <c r="D12" s="18">
        <v>0.7083333333333334</v>
      </c>
      <c r="E12" s="18">
        <v>0.041666666666666664</v>
      </c>
      <c r="F12" s="19">
        <f>IF(OR(C12="",D12=""),"",D12-C12-IF(E12="",0,E12))</f>
      </c>
      <c r="G12" s="20"/>
      <c r="H12" s="20"/>
      <c r="I12" s="20"/>
      <c r="J12" s="20"/>
      <c r="K12" s="21"/>
    </row>
    <row r="13" ht="18" customHeight="1" spans="1:11" x14ac:dyDescent="0.25">
      <c r="A13" s="16">
        <f>IF(MONTH(DATE(YEAR($C$3),MONTH($C$3),5))=MONTH($C$3),DATE(YEAR($C$3),MONTH($C$3),5),"")</f>
      </c>
      <c r="B13" s="17">
        <f>IF(A13="","",CHOOSE(WEEKDAY(A13,2),"Segunda","Terça","Quarta","Quinta","Sexta","Sábado","Domingo"))</f>
      </c>
      <c r="C13" s="18"/>
      <c r="D13" s="18"/>
      <c r="E13" s="18"/>
      <c r="F13" s="19">
        <f>IF(OR(C13="",D13=""),"",D13-C13-IF(E13="",0,E13))</f>
      </c>
      <c r="G13" s="20"/>
      <c r="H13" s="20"/>
      <c r="I13" s="20"/>
      <c r="J13" s="20"/>
      <c r="K13" s="21"/>
    </row>
    <row r="14" ht="18" customHeight="1" spans="1:11" x14ac:dyDescent="0.25">
      <c r="A14" s="16">
        <f>IF(MONTH(DATE(YEAR($C$3),MONTH($C$3),6))=MONTH($C$3),DATE(YEAR($C$3),MONTH($C$3),6),"")</f>
      </c>
      <c r="B14" s="17">
        <f>IF(A14="","",CHOOSE(WEEKDAY(A14,2),"Segunda","Terça","Quarta","Quinta","Sexta","Sábado","Domingo"))</f>
      </c>
      <c r="C14" s="18"/>
      <c r="D14" s="18"/>
      <c r="E14" s="18"/>
      <c r="F14" s="19">
        <f>IF(OR(C14="",D14=""),"",D14-C14-IF(E14="",0,E14))</f>
      </c>
      <c r="G14" s="20"/>
      <c r="H14" s="20"/>
      <c r="I14" s="20"/>
      <c r="J14" s="20"/>
      <c r="K14" s="21"/>
    </row>
    <row r="15" ht="18" customHeight="1" spans="1:11" x14ac:dyDescent="0.25">
      <c r="A15" s="16">
        <f>IF(MONTH(DATE(YEAR($C$3),MONTH($C$3),7))=MONTH($C$3),DATE(YEAR($C$3),MONTH($C$3),7),"")</f>
      </c>
      <c r="B15" s="17">
        <f>IF(A15="","",CHOOSE(WEEKDAY(A15,2),"Segunda","Terça","Quarta","Quinta","Sexta","Sábado","Domingo"))</f>
      </c>
      <c r="C15" s="18">
        <v>0.3333333333333333</v>
      </c>
      <c r="D15" s="18">
        <v>0.7083333333333334</v>
      </c>
      <c r="E15" s="18">
        <v>0.041666666666666664</v>
      </c>
      <c r="F15" s="19">
        <f>IF(OR(C15="",D15=""),"",D15-C15-IF(E15="",0,E15))</f>
      </c>
      <c r="G15" s="20"/>
      <c r="H15" s="20"/>
      <c r="I15" s="20"/>
      <c r="J15" s="20"/>
      <c r="K15" s="21"/>
    </row>
    <row r="16" ht="18" customHeight="1" spans="1:11" x14ac:dyDescent="0.25">
      <c r="A16" s="16">
        <f>IF(MONTH(DATE(YEAR($C$3),MONTH($C$3),8))=MONTH($C$3),DATE(YEAR($C$3),MONTH($C$3),8),"")</f>
      </c>
      <c r="B16" s="17">
        <f>IF(A16="","",CHOOSE(WEEKDAY(A16,2),"Segunda","Terça","Quarta","Quinta","Sexta","Sábado","Domingo"))</f>
      </c>
      <c r="C16" s="18">
        <v>0.3333333333333333</v>
      </c>
      <c r="D16" s="18">
        <v>0.75</v>
      </c>
      <c r="E16" s="18">
        <v>0.041666666666666664</v>
      </c>
      <c r="F16" s="19">
        <f>IF(OR(C16="",D16=""),"",D16-C16-IF(E16="",0,E16))</f>
      </c>
      <c r="G16" s="20">
        <v>0.041666666666666664</v>
      </c>
      <c r="H16" s="20"/>
      <c r="I16" s="20"/>
      <c r="J16" s="20"/>
      <c r="K16" s="21"/>
    </row>
    <row r="17" ht="18" customHeight="1" spans="1:11" x14ac:dyDescent="0.25">
      <c r="A17" s="16">
        <f>IF(MONTH(DATE(YEAR($C$3),MONTH($C$3),9))=MONTH($C$3),DATE(YEAR($C$3),MONTH($C$3),9),"")</f>
      </c>
      <c r="B17" s="17">
        <f>IF(A17="","",CHOOSE(WEEKDAY(A17,2),"Segunda","Terça","Quarta","Quinta","Sexta","Sábado","Domingo"))</f>
      </c>
      <c r="C17" s="18">
        <v>0.3333333333333333</v>
      </c>
      <c r="D17" s="18">
        <v>0.7083333333333334</v>
      </c>
      <c r="E17" s="18">
        <v>0.041666666666666664</v>
      </c>
      <c r="F17" s="19">
        <f>IF(OR(C17="",D17=""),"",D17-C17-IF(E17="",0,E17))</f>
      </c>
      <c r="G17" s="20"/>
      <c r="H17" s="20"/>
      <c r="I17" s="20"/>
      <c r="J17" s="20"/>
      <c r="K17" s="21"/>
    </row>
    <row r="18" ht="18" customHeight="1" spans="1:11" x14ac:dyDescent="0.25">
      <c r="A18" s="16">
        <f>IF(MONTH(DATE(YEAR($C$3),MONTH($C$3),10))=MONTH($C$3),DATE(YEAR($C$3),MONTH($C$3),10),"")</f>
      </c>
      <c r="B18" s="17">
        <f>IF(A18="","",CHOOSE(WEEKDAY(A18,2),"Segunda","Terça","Quarta","Quinta","Sexta","Sábado","Domingo"))</f>
      </c>
      <c r="C18" s="18">
        <v>0.3333333333333333</v>
      </c>
      <c r="D18" s="18">
        <v>0.7083333333333334</v>
      </c>
      <c r="E18" s="18">
        <v>0.041666666666666664</v>
      </c>
      <c r="F18" s="19">
        <f>IF(OR(C18="",D18=""),"",D18-C18-IF(E18="",0,E18))</f>
      </c>
      <c r="G18" s="20"/>
      <c r="H18" s="20"/>
      <c r="I18" s="20"/>
      <c r="J18" s="20"/>
      <c r="K18" s="21"/>
    </row>
    <row r="19" ht="18" customHeight="1" spans="1:11" x14ac:dyDescent="0.25">
      <c r="A19" s="16">
        <f>IF(MONTH(DATE(YEAR($C$3),MONTH($C$3),11))=MONTH($C$3),DATE(YEAR($C$3),MONTH($C$3),11),"")</f>
      </c>
      <c r="B19" s="17">
        <f>IF(A19="","",CHOOSE(WEEKDAY(A19,2),"Segunda","Terça","Quarta","Quinta","Sexta","Sábado","Domingo"))</f>
      </c>
      <c r="C19" s="18"/>
      <c r="D19" s="18"/>
      <c r="E19" s="18"/>
      <c r="F19" s="19">
        <f>IF(OR(C19="",D19=""),"",D19-C19-IF(E19="",0,E19))</f>
      </c>
      <c r="G19" s="20"/>
      <c r="H19" s="20"/>
      <c r="I19" s="20"/>
      <c r="J19" s="20">
        <v>0.3333333333333333</v>
      </c>
      <c r="K19" s="21" t="s">
        <v>52</v>
      </c>
    </row>
    <row r="20" ht="18" customHeight="1" spans="1:11" x14ac:dyDescent="0.25">
      <c r="A20" s="16">
        <f>IF(MONTH(DATE(YEAR($C$3),MONTH($C$3),12))=MONTH($C$3),DATE(YEAR($C$3),MONTH($C$3),12),"")</f>
      </c>
      <c r="B20" s="17">
        <f>IF(A20="","",CHOOSE(WEEKDAY(A20,2),"Segunda","Terça","Quarta","Quinta","Sexta","Sábado","Domingo"))</f>
      </c>
      <c r="C20" s="18"/>
      <c r="D20" s="18"/>
      <c r="E20" s="18"/>
      <c r="F20" s="19">
        <f>IF(OR(C20="",D20=""),"",D20-C20-IF(E20="",0,E20))</f>
      </c>
      <c r="G20" s="20"/>
      <c r="H20" s="20"/>
      <c r="I20" s="20"/>
      <c r="J20" s="20"/>
      <c r="K20" s="21"/>
    </row>
    <row r="21" ht="18" customHeight="1" spans="1:11" x14ac:dyDescent="0.25">
      <c r="A21" s="16">
        <f>IF(MONTH(DATE(YEAR($C$3),MONTH($C$3),13))=MONTH($C$3),DATE(YEAR($C$3),MONTH($C$3),13),"")</f>
      </c>
      <c r="B21" s="17">
        <f>IF(A21="","",CHOOSE(WEEKDAY(A21,2),"Segunda","Terça","Quarta","Quinta","Sexta","Sábado","Domingo"))</f>
      </c>
      <c r="C21" s="18"/>
      <c r="D21" s="18"/>
      <c r="E21" s="18"/>
      <c r="F21" s="19">
        <f>IF(OR(C21="",D21=""),"",D21-C21-IF(E21="",0,E21))</f>
      </c>
      <c r="G21" s="20"/>
      <c r="H21" s="20"/>
      <c r="I21" s="20"/>
      <c r="J21" s="20"/>
      <c r="K21" s="21"/>
    </row>
    <row r="22" ht="18" customHeight="1" spans="1:11" x14ac:dyDescent="0.25">
      <c r="A22" s="16">
        <f>IF(MONTH(DATE(YEAR($C$3),MONTH($C$3),14))=MONTH($C$3),DATE(YEAR($C$3),MONTH($C$3),14),"")</f>
      </c>
      <c r="B22" s="17">
        <f>IF(A22="","",CHOOSE(WEEKDAY(A22,2),"Segunda","Terça","Quarta","Quinta","Sexta","Sábado","Domingo"))</f>
      </c>
      <c r="C22" s="18">
        <v>0.3333333333333333</v>
      </c>
      <c r="D22" s="18">
        <v>0.7083333333333334</v>
      </c>
      <c r="E22" s="18">
        <v>0.041666666666666664</v>
      </c>
      <c r="F22" s="19">
        <f>IF(OR(C22="",D22=""),"",D22-C22-IF(E22="",0,E22))</f>
      </c>
      <c r="G22" s="20"/>
      <c r="H22" s="20"/>
      <c r="I22" s="20"/>
      <c r="J22" s="20"/>
      <c r="K22" s="21"/>
    </row>
    <row r="23" ht="18" customHeight="1" spans="1:11" x14ac:dyDescent="0.25">
      <c r="A23" s="16">
        <f>IF(MONTH(DATE(YEAR($C$3),MONTH($C$3),15))=MONTH($C$3),DATE(YEAR($C$3),MONTH($C$3),15),"")</f>
      </c>
      <c r="B23" s="17">
        <f>IF(A23="","",CHOOSE(WEEKDAY(A23,2),"Segunda","Terça","Quarta","Quinta","Sexta","Sábado","Domingo"))</f>
      </c>
      <c r="C23" s="18">
        <v>0.3333333333333333</v>
      </c>
      <c r="D23" s="18">
        <v>0.7083333333333334</v>
      </c>
      <c r="E23" s="18">
        <v>0.041666666666666664</v>
      </c>
      <c r="F23" s="19">
        <f>IF(OR(C23="",D23=""),"",D23-C23-IF(E23="",0,E23))</f>
      </c>
      <c r="G23" s="20"/>
      <c r="H23" s="20"/>
      <c r="I23" s="20"/>
      <c r="J23" s="20"/>
      <c r="K23" s="21"/>
    </row>
    <row r="24" ht="18" customHeight="1" spans="1:11" x14ac:dyDescent="0.25">
      <c r="A24" s="16">
        <f>IF(MONTH(DATE(YEAR($C$3),MONTH($C$3),16))=MONTH($C$3),DATE(YEAR($C$3),MONTH($C$3),16),"")</f>
      </c>
      <c r="B24" s="17">
        <f>IF(A24="","",CHOOSE(WEEKDAY(A24,2),"Segunda","Terça","Quarta","Quinta","Sexta","Sábado","Domingo"))</f>
      </c>
      <c r="C24" s="18">
        <v>0.3333333333333333</v>
      </c>
      <c r="D24" s="18">
        <v>0.7083333333333334</v>
      </c>
      <c r="E24" s="18">
        <v>0.041666666666666664</v>
      </c>
      <c r="F24" s="19">
        <f>IF(OR(C24="",D24=""),"",D24-C24-IF(E24="",0,E24))</f>
      </c>
      <c r="G24" s="20"/>
      <c r="H24" s="20"/>
      <c r="I24" s="20"/>
      <c r="J24" s="20"/>
      <c r="K24" s="21"/>
    </row>
    <row r="25" ht="18" customHeight="1" spans="1:11" x14ac:dyDescent="0.25">
      <c r="A25" s="16">
        <f>IF(MONTH(DATE(YEAR($C$3),MONTH($C$3),17))=MONTH($C$3),DATE(YEAR($C$3),MONTH($C$3),17),"")</f>
      </c>
      <c r="B25" s="17">
        <f>IF(A25="","",CHOOSE(WEEKDAY(A25,2),"Segunda","Terça","Quarta","Quinta","Sexta","Sábado","Domingo"))</f>
      </c>
      <c r="C25" s="18">
        <v>0.3333333333333333</v>
      </c>
      <c r="D25" s="18">
        <v>0.7083333333333334</v>
      </c>
      <c r="E25" s="18">
        <v>0.041666666666666664</v>
      </c>
      <c r="F25" s="19">
        <f>IF(OR(C25="",D25=""),"",D25-C25-IF(E25="",0,E25))</f>
      </c>
      <c r="G25" s="20"/>
      <c r="H25" s="20"/>
      <c r="I25" s="20"/>
      <c r="J25" s="20"/>
      <c r="K25" s="21"/>
    </row>
    <row r="26" ht="18" customHeight="1" spans="1:11" x14ac:dyDescent="0.25">
      <c r="A26" s="16">
        <f>IF(MONTH(DATE(YEAR($C$3),MONTH($C$3),18))=MONTH($C$3),DATE(YEAR($C$3),MONTH($C$3),18),"")</f>
      </c>
      <c r="B26" s="17">
        <f>IF(A26="","",CHOOSE(WEEKDAY(A26,2),"Segunda","Terça","Quarta","Quinta","Sexta","Sábado","Domingo"))</f>
      </c>
      <c r="C26" s="18">
        <v>0.3333333333333333</v>
      </c>
      <c r="D26" s="18">
        <v>0.7083333333333334</v>
      </c>
      <c r="E26" s="18">
        <v>0.041666666666666664</v>
      </c>
      <c r="F26" s="19">
        <f>IF(OR(C26="",D26=""),"",D26-C26-IF(E26="",0,E26))</f>
      </c>
      <c r="G26" s="20"/>
      <c r="H26" s="20"/>
      <c r="I26" s="20"/>
      <c r="J26" s="20"/>
      <c r="K26" s="21"/>
    </row>
    <row r="27" ht="18" customHeight="1" spans="1:11" x14ac:dyDescent="0.25">
      <c r="A27" s="16">
        <f>IF(MONTH(DATE(YEAR($C$3),MONTH($C$3),19))=MONTH($C$3),DATE(YEAR($C$3),MONTH($C$3),19),"")</f>
      </c>
      <c r="B27" s="17">
        <f>IF(A27="","",CHOOSE(WEEKDAY(A27,2),"Segunda","Terça","Quarta","Quinta","Sexta","Sábado","Domingo"))</f>
      </c>
      <c r="C27" s="18"/>
      <c r="D27" s="18"/>
      <c r="E27" s="18"/>
      <c r="F27" s="19">
        <f>IF(OR(C27="",D27=""),"",D27-C27-IF(E27="",0,E27))</f>
      </c>
      <c r="G27" s="20"/>
      <c r="H27" s="20"/>
      <c r="I27" s="20"/>
      <c r="J27" s="20"/>
      <c r="K27" s="21"/>
    </row>
    <row r="28" ht="18" customHeight="1" spans="1:11" x14ac:dyDescent="0.25">
      <c r="A28" s="16">
        <f>IF(MONTH(DATE(YEAR($C$3),MONTH($C$3),20))=MONTH($C$3),DATE(YEAR($C$3),MONTH($C$3),20),"")</f>
      </c>
      <c r="B28" s="17">
        <f>IF(A28="","",CHOOSE(WEEKDAY(A28,2),"Segunda","Terça","Quarta","Quinta","Sexta","Sábado","Domingo"))</f>
      </c>
      <c r="C28" s="18"/>
      <c r="D28" s="18"/>
      <c r="E28" s="18"/>
      <c r="F28" s="19">
        <f>IF(OR(C28="",D28=""),"",D28-C28-IF(E28="",0,E28))</f>
      </c>
      <c r="G28" s="20"/>
      <c r="H28" s="20"/>
      <c r="I28" s="20"/>
      <c r="J28" s="20"/>
      <c r="K28" s="21"/>
    </row>
    <row r="29" ht="18" customHeight="1" spans="1:11" x14ac:dyDescent="0.25">
      <c r="A29" s="16">
        <f>IF(MONTH(DATE(YEAR($C$3),MONTH($C$3),21))=MONTH($C$3),DATE(YEAR($C$3),MONTH($C$3),21),"")</f>
      </c>
      <c r="B29" s="17">
        <f>IF(A29="","",CHOOSE(WEEKDAY(A29,2),"Segunda","Terça","Quarta","Quinta","Sexta","Sábado","Domingo"))</f>
      </c>
      <c r="C29" s="18"/>
      <c r="D29" s="18"/>
      <c r="E29" s="18"/>
      <c r="F29" s="19">
        <f>IF(OR(C29="",D29=""),"",D29-C29-IF(E29="",0,E29))</f>
      </c>
      <c r="G29" s="20"/>
      <c r="H29" s="20"/>
      <c r="I29" s="20"/>
      <c r="J29" s="20"/>
      <c r="K29" s="21" t="s">
        <v>53</v>
      </c>
    </row>
    <row r="30" ht="18" customHeight="1" spans="1:11" x14ac:dyDescent="0.25">
      <c r="A30" s="16">
        <f>IF(MONTH(DATE(YEAR($C$3),MONTH($C$3),22))=MONTH($C$3),DATE(YEAR($C$3),MONTH($C$3),22),"")</f>
      </c>
      <c r="B30" s="17">
        <f>IF(A30="","",CHOOSE(WEEKDAY(A30,2),"Segunda","Terça","Quarta","Quinta","Sexta","Sábado","Domingo"))</f>
      </c>
      <c r="C30" s="18">
        <v>0.3333333333333333</v>
      </c>
      <c r="D30" s="18">
        <v>0.7083333333333334</v>
      </c>
      <c r="E30" s="18">
        <v>0.041666666666666664</v>
      </c>
      <c r="F30" s="19">
        <f>IF(OR(C30="",D30=""),"",D30-C30-IF(E30="",0,E30))</f>
      </c>
      <c r="G30" s="20"/>
      <c r="H30" s="20"/>
      <c r="I30" s="20"/>
      <c r="J30" s="20"/>
      <c r="K30" s="21"/>
    </row>
    <row r="31" ht="18" customHeight="1" spans="1:11" x14ac:dyDescent="0.25">
      <c r="A31" s="16">
        <f>IF(MONTH(DATE(YEAR($C$3),MONTH($C$3),23))=MONTH($C$3),DATE(YEAR($C$3),MONTH($C$3),23),"")</f>
      </c>
      <c r="B31" s="17">
        <f>IF(A31="","",CHOOSE(WEEKDAY(A31,2),"Segunda","Terça","Quarta","Quinta","Sexta","Sábado","Domingo"))</f>
      </c>
      <c r="C31" s="18">
        <v>0.3333333333333333</v>
      </c>
      <c r="D31" s="18">
        <v>0.7916666666666666</v>
      </c>
      <c r="E31" s="18">
        <v>0.041666666666666664</v>
      </c>
      <c r="F31" s="19">
        <f>IF(OR(C31="",D31=""),"",D31-C31-IF(E31="",0,E31))</f>
      </c>
      <c r="G31" s="20">
        <v>0.08333333333333333</v>
      </c>
      <c r="H31" s="20"/>
      <c r="I31" s="20"/>
      <c r="J31" s="20"/>
      <c r="K31" s="21"/>
    </row>
    <row r="32" ht="18" customHeight="1" spans="1:11" x14ac:dyDescent="0.25">
      <c r="A32" s="16">
        <f>IF(MONTH(DATE(YEAR($C$3),MONTH($C$3),24))=MONTH($C$3),DATE(YEAR($C$3),MONTH($C$3),24),"")</f>
      </c>
      <c r="B32" s="17">
        <f>IF(A32="","",CHOOSE(WEEKDAY(A32,2),"Segunda","Terça","Quarta","Quinta","Sexta","Sábado","Domingo"))</f>
      </c>
      <c r="C32" s="18">
        <v>0.3333333333333333</v>
      </c>
      <c r="D32" s="18">
        <v>0.7083333333333334</v>
      </c>
      <c r="E32" s="18">
        <v>0.041666666666666664</v>
      </c>
      <c r="F32" s="19">
        <f>IF(OR(C32="",D32=""),"",D32-C32-IF(E32="",0,E32))</f>
      </c>
      <c r="G32" s="20"/>
      <c r="H32" s="20"/>
      <c r="I32" s="20"/>
      <c r="J32" s="20"/>
      <c r="K32" s="21"/>
    </row>
    <row r="33" ht="18" customHeight="1" spans="1:11" x14ac:dyDescent="0.25">
      <c r="A33" s="16">
        <f>IF(MONTH(DATE(YEAR($C$3),MONTH($C$3),25))=MONTH($C$3),DATE(YEAR($C$3),MONTH($C$3),25),"")</f>
      </c>
      <c r="B33" s="17">
        <f>IF(A33="","",CHOOSE(WEEKDAY(A33,2),"Segunda","Terça","Quarta","Quinta","Sexta","Sábado","Domingo"))</f>
      </c>
      <c r="C33" s="18">
        <v>0.3333333333333333</v>
      </c>
      <c r="D33" s="18">
        <v>0.7083333333333334</v>
      </c>
      <c r="E33" s="18">
        <v>0.041666666666666664</v>
      </c>
      <c r="F33" s="19">
        <f>IF(OR(C33="",D33=""),"",D33-C33-IF(E33="",0,E33))</f>
      </c>
      <c r="G33" s="20"/>
      <c r="H33" s="20"/>
      <c r="I33" s="20"/>
      <c r="J33" s="20"/>
      <c r="K33" s="21"/>
    </row>
    <row r="34" ht="18" customHeight="1" spans="1:11" x14ac:dyDescent="0.25">
      <c r="A34" s="16">
        <f>IF(MONTH(DATE(YEAR($C$3),MONTH($C$3),26))=MONTH($C$3),DATE(YEAR($C$3),MONTH($C$3),26),"")</f>
      </c>
      <c r="B34" s="17">
        <f>IF(A34="","",CHOOSE(WEEKDAY(A34,2),"Segunda","Terça","Quarta","Quinta","Sexta","Sábado","Domingo"))</f>
      </c>
      <c r="C34" s="18"/>
      <c r="D34" s="18"/>
      <c r="E34" s="18"/>
      <c r="F34" s="19">
        <f>IF(OR(C34="",D34=""),"",D34-C34-IF(E34="",0,E34))</f>
      </c>
      <c r="G34" s="20"/>
      <c r="H34" s="20"/>
      <c r="I34" s="20"/>
      <c r="J34" s="20"/>
      <c r="K34" s="21"/>
    </row>
    <row r="35" ht="18" customHeight="1" spans="1:11" x14ac:dyDescent="0.25">
      <c r="A35" s="16">
        <f>IF(MONTH(DATE(YEAR($C$3),MONTH($C$3),27))=MONTH($C$3),DATE(YEAR($C$3),MONTH($C$3),27),"")</f>
      </c>
      <c r="B35" s="17">
        <f>IF(A35="","",CHOOSE(WEEKDAY(A35,2),"Segunda","Terça","Quarta","Quinta","Sexta","Sábado","Domingo"))</f>
      </c>
      <c r="C35" s="18"/>
      <c r="D35" s="18"/>
      <c r="E35" s="18"/>
      <c r="F35" s="19">
        <f>IF(OR(C35="",D35=""),"",D35-C35-IF(E35="",0,E35))</f>
      </c>
      <c r="G35" s="20"/>
      <c r="H35" s="20"/>
      <c r="I35" s="20"/>
      <c r="J35" s="20"/>
      <c r="K35" s="21"/>
    </row>
    <row r="36" ht="18" customHeight="1" spans="1:11" x14ac:dyDescent="0.25">
      <c r="A36" s="16">
        <f>IF(MONTH(DATE(YEAR($C$3),MONTH($C$3),28))=MONTH($C$3),DATE(YEAR($C$3),MONTH($C$3),28),"")</f>
      </c>
      <c r="B36" s="17">
        <f>IF(A36="","",CHOOSE(WEEKDAY(A36,2),"Segunda","Terça","Quarta","Quinta","Sexta","Sábado","Domingo"))</f>
      </c>
      <c r="C36" s="18">
        <v>0.3333333333333333</v>
      </c>
      <c r="D36" s="18">
        <v>0.7083333333333334</v>
      </c>
      <c r="E36" s="18">
        <v>0.041666666666666664</v>
      </c>
      <c r="F36" s="19">
        <f>IF(OR(C36="",D36=""),"",D36-C36-IF(E36="",0,E36))</f>
      </c>
      <c r="G36" s="20"/>
      <c r="H36" s="20"/>
      <c r="I36" s="20"/>
      <c r="J36" s="20"/>
      <c r="K36" s="21"/>
    </row>
    <row r="37" ht="18" customHeight="1" spans="1:11" x14ac:dyDescent="0.25">
      <c r="A37" s="16">
        <f>IF(MONTH(DATE(YEAR($C$3),MONTH($C$3),29))=MONTH($C$3),DATE(YEAR($C$3),MONTH($C$3),29),"")</f>
      </c>
      <c r="B37" s="17">
        <f>IF(A37="","",CHOOSE(WEEKDAY(A37,2),"Segunda","Terça","Quarta","Quinta","Sexta","Sábado","Domingo"))</f>
      </c>
      <c r="C37" s="18">
        <v>0.3333333333333333</v>
      </c>
      <c r="D37" s="18">
        <v>0.7083333333333334</v>
      </c>
      <c r="E37" s="18">
        <v>0.041666666666666664</v>
      </c>
      <c r="F37" s="19">
        <f>IF(OR(C37="",D37=""),"",D37-C37-IF(E37="",0,E37))</f>
      </c>
      <c r="G37" s="20"/>
      <c r="H37" s="20"/>
      <c r="I37" s="20"/>
      <c r="J37" s="20"/>
      <c r="K37" s="21"/>
    </row>
    <row r="38" ht="18" customHeight="1" spans="1:11" x14ac:dyDescent="0.25">
      <c r="A38" s="16">
        <f>IF(MONTH(DATE(YEAR($C$3),MONTH($C$3),30))=MONTH($C$3),DATE(YEAR($C$3),MONTH($C$3),30),"")</f>
      </c>
      <c r="B38" s="17">
        <f>IF(A38="","",CHOOSE(WEEKDAY(A38,2),"Segunda","Terça","Quarta","Quinta","Sexta","Sábado","Domingo"))</f>
      </c>
      <c r="C38" s="18">
        <v>0.3333333333333333</v>
      </c>
      <c r="D38" s="18">
        <v>0.7083333333333334</v>
      </c>
      <c r="E38" s="18">
        <v>0.041666666666666664</v>
      </c>
      <c r="F38" s="19">
        <f>IF(OR(C38="",D38=""),"",D38-C38-IF(E38="",0,E38))</f>
      </c>
      <c r="G38" s="20"/>
      <c r="H38" s="20"/>
      <c r="I38" s="20"/>
      <c r="J38" s="20"/>
      <c r="K38" s="21"/>
    </row>
    <row r="39" ht="18" customHeight="1" spans="1:11" x14ac:dyDescent="0.25">
      <c r="A39" s="16">
        <f>IF(MONTH(DATE(YEAR($C$3),MONTH($C$3),31))=MONTH($C$3),DATE(YEAR($C$3),MONTH($C$3),31),"")</f>
      </c>
      <c r="B39" s="17">
        <f>IF(A39="","",CHOOSE(WEEKDAY(A39,2),"Segunda","Terça","Quarta","Quinta","Sexta","Sábado","Domingo"))</f>
      </c>
      <c r="C39" s="18"/>
      <c r="D39" s="18"/>
      <c r="E39" s="18"/>
      <c r="F39" s="19">
        <f>IF(OR(C39="",D39=""),"",D39-C39-IF(E39="",0,E39))</f>
      </c>
      <c r="G39" s="20"/>
      <c r="H39" s="20"/>
      <c r="I39" s="20"/>
      <c r="J39" s="20"/>
      <c r="K39" s="21"/>
    </row>
  </sheetData>
  <mergeCells count="11">
    <mergeCell ref="A1:K1"/>
    <mergeCell ref="A2:B2"/>
    <mergeCell ref="C2:D2"/>
    <mergeCell ref="E2:F2"/>
    <mergeCell ref="G2:K2"/>
    <mergeCell ref="A3:B3"/>
    <mergeCell ref="C3:D3"/>
    <mergeCell ref="E3:F3"/>
    <mergeCell ref="G3:H3"/>
    <mergeCell ref="I3:K3"/>
    <mergeCell ref="A5:K5"/>
  </mergeCells>
  <conditionalFormatting sqref="A9:K39">
    <cfRule type="expression" dxfId="3" priority="1">
      <formula>$B9="Domingo"</formula>
    </cfRule>
    <cfRule type="expression" dxfId="4" priority="2">
      <formula>$B9="Sábado"</formula>
    </cfRule>
  </conditionalFormatting>
  <conditionalFormatting sqref="A9:K39">
    <cfRule type="expression" dxfId="5" priority="3">
      <formula>AND(MOD(ROW(),2)=1,$B9&lt;&gt;"Domingo",$B9&lt;&gt;"Sábado",$A9&lt;&gt;"")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0" customWidth="1"/>
    <col min="5" max="5" width="12" customWidth="1"/>
    <col min="6" max="6" width="14" customWidth="1"/>
    <col min="7" max="10" width="12" customWidth="1"/>
    <col min="11" max="11" width="30" customWidth="1"/>
  </cols>
  <sheetData>
    <row r="1" ht="36" customHeight="1" spans="1:1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6" t="s">
        <v>29</v>
      </c>
      <c r="B2" s="6"/>
      <c r="C2" s="7" t="s">
        <v>54</v>
      </c>
      <c r="D2" s="7"/>
      <c r="E2" s="6" t="s">
        <v>31</v>
      </c>
      <c r="F2" s="6"/>
      <c r="G2" s="7" t="s">
        <v>55</v>
      </c>
      <c r="H2" s="7"/>
      <c r="I2" s="7"/>
      <c r="J2" s="7"/>
      <c r="K2" s="7"/>
    </row>
    <row r="3" ht="24" customHeight="1" spans="1:11" x14ac:dyDescent="0.25">
      <c r="A3" s="6" t="s">
        <v>33</v>
      </c>
      <c r="B3" s="6"/>
      <c r="C3" s="8"/>
      <c r="D3" s="8"/>
      <c r="E3" s="6" t="s">
        <v>34</v>
      </c>
      <c r="F3" s="6"/>
      <c r="G3" s="9">
        <v>0.3333333333333333</v>
      </c>
      <c r="H3" s="9"/>
      <c r="I3" s="10" t="s">
        <v>35</v>
      </c>
      <c r="J3" s="10"/>
      <c r="K3" s="10"/>
    </row>
    <row r="4" ht="8" customHeight="1" x14ac:dyDescent="0.25"/>
    <row r="5" ht="22" customHeight="1" spans="1:11" x14ac:dyDescent="0.25">
      <c r="A5" s="11" t="s">
        <v>36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ht="26" customHeight="1" spans="2:8" x14ac:dyDescent="0.25">
      <c r="B6" s="12" t="s">
        <v>37</v>
      </c>
      <c r="C6" s="12" t="s">
        <v>38</v>
      </c>
      <c r="D6" s="12" t="s">
        <v>39</v>
      </c>
      <c r="E6" s="12" t="s">
        <v>40</v>
      </c>
      <c r="F6" s="12" t="s">
        <v>41</v>
      </c>
      <c r="G6" s="12" t="s">
        <v>42</v>
      </c>
      <c r="H6" s="12" t="s">
        <v>43</v>
      </c>
    </row>
    <row r="7" ht="22" customHeight="1" spans="2:8" x14ac:dyDescent="0.25">
      <c r="B7" s="13">
        <f>SUM(F9:F39)</f>
      </c>
      <c r="C7" s="13">
        <f>SUM(G9:G39)</f>
      </c>
      <c r="D7" s="13">
        <f>SUM(H9:H39)</f>
      </c>
      <c r="E7" s="13">
        <f>SUM(I9:I39)</f>
      </c>
      <c r="F7" s="13">
        <f>SUM(J9:J39)</f>
      </c>
      <c r="G7" s="14">
        <f>COUNTIF(F9:F39,"&gt;0")</f>
      </c>
      <c r="H7" s="14">
        <f>COUNTIF(B9:B39,"Domingo")</f>
      </c>
    </row>
    <row r="8" ht="28" customHeight="1" spans="1:11" x14ac:dyDescent="0.25">
      <c r="A8" s="15" t="s">
        <v>44</v>
      </c>
      <c r="B8" s="15" t="s">
        <v>45</v>
      </c>
      <c r="C8" s="15" t="s">
        <v>46</v>
      </c>
      <c r="D8" s="15" t="s">
        <v>47</v>
      </c>
      <c r="E8" s="15" t="s">
        <v>48</v>
      </c>
      <c r="F8" s="15" t="s">
        <v>37</v>
      </c>
      <c r="G8" s="15" t="s">
        <v>38</v>
      </c>
      <c r="H8" s="15" t="s">
        <v>39</v>
      </c>
      <c r="I8" s="15" t="s">
        <v>40</v>
      </c>
      <c r="J8" s="15" t="s">
        <v>41</v>
      </c>
      <c r="K8" s="15" t="s">
        <v>49</v>
      </c>
    </row>
    <row r="9" ht="18" customHeight="1" spans="1:11" x14ac:dyDescent="0.25">
      <c r="A9" s="16">
        <f>IF(MONTH(DATE(YEAR($C$3),MONTH($C$3),1))=MONTH($C$3),DATE(YEAR($C$3),MONTH($C$3),1),"")</f>
      </c>
      <c r="B9" s="17">
        <f>IF(A9="","",CHOOSE(WEEKDAY(A9,2),"Segunda","Terça","Quarta","Quinta","Sexta","Sábado","Domingo"))</f>
      </c>
      <c r="C9" s="18"/>
      <c r="D9" s="18"/>
      <c r="E9" s="18"/>
      <c r="F9" s="19">
        <f>IF(OR(C9="",D9=""),"",D9-C9-IF(E9="",0,E9))</f>
      </c>
      <c r="G9" s="20"/>
      <c r="H9" s="20"/>
      <c r="I9" s="20"/>
      <c r="J9" s="20"/>
      <c r="K9" s="21"/>
    </row>
    <row r="10" ht="18" customHeight="1" spans="1:11" x14ac:dyDescent="0.25">
      <c r="A10" s="16">
        <f>IF(MONTH(DATE(YEAR($C$3),MONTH($C$3),2))=MONTH($C$3),DATE(YEAR($C$3),MONTH($C$3),2),"")</f>
      </c>
      <c r="B10" s="17">
        <f>IF(A10="","",CHOOSE(WEEKDAY(A10,2),"Segunda","Terça","Quarta","Quinta","Sexta","Sábado","Domingo"))</f>
      </c>
      <c r="C10" s="18"/>
      <c r="D10" s="18"/>
      <c r="E10" s="18"/>
      <c r="F10" s="19">
        <f>IF(OR(C10="",D10=""),"",D10-C10-IF(E10="",0,E10))</f>
      </c>
      <c r="G10" s="20"/>
      <c r="H10" s="20"/>
      <c r="I10" s="20"/>
      <c r="J10" s="20"/>
      <c r="K10" s="21"/>
    </row>
    <row r="11" ht="18" customHeight="1" spans="1:11" x14ac:dyDescent="0.25">
      <c r="A11" s="16">
        <f>IF(MONTH(DATE(YEAR($C$3),MONTH($C$3),3))=MONTH($C$3),DATE(YEAR($C$3),MONTH($C$3),3),"")</f>
      </c>
      <c r="B11" s="17">
        <f>IF(A11="","",CHOOSE(WEEKDAY(A11,2),"Segunda","Terça","Quarta","Quinta","Sexta","Sábado","Domingo"))</f>
      </c>
      <c r="C11" s="18"/>
      <c r="D11" s="18"/>
      <c r="E11" s="18"/>
      <c r="F11" s="19">
        <f>IF(OR(C11="",D11=""),"",D11-C11-IF(E11="",0,E11))</f>
      </c>
      <c r="G11" s="20"/>
      <c r="H11" s="20"/>
      <c r="I11" s="20"/>
      <c r="J11" s="20"/>
      <c r="K11" s="21"/>
    </row>
    <row r="12" ht="18" customHeight="1" spans="1:11" x14ac:dyDescent="0.25">
      <c r="A12" s="16">
        <f>IF(MONTH(DATE(YEAR($C$3),MONTH($C$3),4))=MONTH($C$3),DATE(YEAR($C$3),MONTH($C$3),4),"")</f>
      </c>
      <c r="B12" s="17">
        <f>IF(A12="","",CHOOSE(WEEKDAY(A12,2),"Segunda","Terça","Quarta","Quinta","Sexta","Sábado","Domingo"))</f>
      </c>
      <c r="C12" s="18"/>
      <c r="D12" s="18"/>
      <c r="E12" s="18"/>
      <c r="F12" s="19">
        <f>IF(OR(C12="",D12=""),"",D12-C12-IF(E12="",0,E12))</f>
      </c>
      <c r="G12" s="20"/>
      <c r="H12" s="20"/>
      <c r="I12" s="20"/>
      <c r="J12" s="20"/>
      <c r="K12" s="21"/>
    </row>
    <row r="13" ht="18" customHeight="1" spans="1:11" x14ac:dyDescent="0.25">
      <c r="A13" s="16">
        <f>IF(MONTH(DATE(YEAR($C$3),MONTH($C$3),5))=MONTH($C$3),DATE(YEAR($C$3),MONTH($C$3),5),"")</f>
      </c>
      <c r="B13" s="17">
        <f>IF(A13="","",CHOOSE(WEEKDAY(A13,2),"Segunda","Terça","Quarta","Quinta","Sexta","Sábado","Domingo"))</f>
      </c>
      <c r="C13" s="18"/>
      <c r="D13" s="18"/>
      <c r="E13" s="18"/>
      <c r="F13" s="19">
        <f>IF(OR(C13="",D13=""),"",D13-C13-IF(E13="",0,E13))</f>
      </c>
      <c r="G13" s="20"/>
      <c r="H13" s="20"/>
      <c r="I13" s="20"/>
      <c r="J13" s="20"/>
      <c r="K13" s="21"/>
    </row>
    <row r="14" ht="18" customHeight="1" spans="1:11" x14ac:dyDescent="0.25">
      <c r="A14" s="16">
        <f>IF(MONTH(DATE(YEAR($C$3),MONTH($C$3),6))=MONTH($C$3),DATE(YEAR($C$3),MONTH($C$3),6),"")</f>
      </c>
      <c r="B14" s="17">
        <f>IF(A14="","",CHOOSE(WEEKDAY(A14,2),"Segunda","Terça","Quarta","Quinta","Sexta","Sábado","Domingo"))</f>
      </c>
      <c r="C14" s="18"/>
      <c r="D14" s="18"/>
      <c r="E14" s="18"/>
      <c r="F14" s="19">
        <f>IF(OR(C14="",D14=""),"",D14-C14-IF(E14="",0,E14))</f>
      </c>
      <c r="G14" s="20"/>
      <c r="H14" s="20"/>
      <c r="I14" s="20"/>
      <c r="J14" s="20"/>
      <c r="K14" s="21"/>
    </row>
    <row r="15" ht="18" customHeight="1" spans="1:11" x14ac:dyDescent="0.25">
      <c r="A15" s="16">
        <f>IF(MONTH(DATE(YEAR($C$3),MONTH($C$3),7))=MONTH($C$3),DATE(YEAR($C$3),MONTH($C$3),7),"")</f>
      </c>
      <c r="B15" s="17">
        <f>IF(A15="","",CHOOSE(WEEKDAY(A15,2),"Segunda","Terça","Quarta","Quinta","Sexta","Sábado","Domingo"))</f>
      </c>
      <c r="C15" s="18"/>
      <c r="D15" s="18"/>
      <c r="E15" s="18"/>
      <c r="F15" s="19">
        <f>IF(OR(C15="",D15=""),"",D15-C15-IF(E15="",0,E15))</f>
      </c>
      <c r="G15" s="20"/>
      <c r="H15" s="20"/>
      <c r="I15" s="20"/>
      <c r="J15" s="20"/>
      <c r="K15" s="21"/>
    </row>
    <row r="16" ht="18" customHeight="1" spans="1:11" x14ac:dyDescent="0.25">
      <c r="A16" s="16">
        <f>IF(MONTH(DATE(YEAR($C$3),MONTH($C$3),8))=MONTH($C$3),DATE(YEAR($C$3),MONTH($C$3),8),"")</f>
      </c>
      <c r="B16" s="17">
        <f>IF(A16="","",CHOOSE(WEEKDAY(A16,2),"Segunda","Terça","Quarta","Quinta","Sexta","Sábado","Domingo"))</f>
      </c>
      <c r="C16" s="18"/>
      <c r="D16" s="18"/>
      <c r="E16" s="18"/>
      <c r="F16" s="19">
        <f>IF(OR(C16="",D16=""),"",D16-C16-IF(E16="",0,E16))</f>
      </c>
      <c r="G16" s="20"/>
      <c r="H16" s="20"/>
      <c r="I16" s="20"/>
      <c r="J16" s="20"/>
      <c r="K16" s="21"/>
    </row>
    <row r="17" ht="18" customHeight="1" spans="1:11" x14ac:dyDescent="0.25">
      <c r="A17" s="16">
        <f>IF(MONTH(DATE(YEAR($C$3),MONTH($C$3),9))=MONTH($C$3),DATE(YEAR($C$3),MONTH($C$3),9),"")</f>
      </c>
      <c r="B17" s="17">
        <f>IF(A17="","",CHOOSE(WEEKDAY(A17,2),"Segunda","Terça","Quarta","Quinta","Sexta","Sábado","Domingo"))</f>
      </c>
      <c r="C17" s="18"/>
      <c r="D17" s="18"/>
      <c r="E17" s="18"/>
      <c r="F17" s="19">
        <f>IF(OR(C17="",D17=""),"",D17-C17-IF(E17="",0,E17))</f>
      </c>
      <c r="G17" s="20"/>
      <c r="H17" s="20"/>
      <c r="I17" s="20"/>
      <c r="J17" s="20"/>
      <c r="K17" s="21"/>
    </row>
    <row r="18" ht="18" customHeight="1" spans="1:11" x14ac:dyDescent="0.25">
      <c r="A18" s="16">
        <f>IF(MONTH(DATE(YEAR($C$3),MONTH($C$3),10))=MONTH($C$3),DATE(YEAR($C$3),MONTH($C$3),10),"")</f>
      </c>
      <c r="B18" s="17">
        <f>IF(A18="","",CHOOSE(WEEKDAY(A18,2),"Segunda","Terça","Quarta","Quinta","Sexta","Sábado","Domingo"))</f>
      </c>
      <c r="C18" s="18"/>
      <c r="D18" s="18"/>
      <c r="E18" s="18"/>
      <c r="F18" s="19">
        <f>IF(OR(C18="",D18=""),"",D18-C18-IF(E18="",0,E18))</f>
      </c>
      <c r="G18" s="20"/>
      <c r="H18" s="20"/>
      <c r="I18" s="20"/>
      <c r="J18" s="20"/>
      <c r="K18" s="21"/>
    </row>
    <row r="19" ht="18" customHeight="1" spans="1:11" x14ac:dyDescent="0.25">
      <c r="A19" s="16">
        <f>IF(MONTH(DATE(YEAR($C$3),MONTH($C$3),11))=MONTH($C$3),DATE(YEAR($C$3),MONTH($C$3),11),"")</f>
      </c>
      <c r="B19" s="17">
        <f>IF(A19="","",CHOOSE(WEEKDAY(A19,2),"Segunda","Terça","Quarta","Quinta","Sexta","Sábado","Domingo"))</f>
      </c>
      <c r="C19" s="18"/>
      <c r="D19" s="18"/>
      <c r="E19" s="18"/>
      <c r="F19" s="19">
        <f>IF(OR(C19="",D19=""),"",D19-C19-IF(E19="",0,E19))</f>
      </c>
      <c r="G19" s="20"/>
      <c r="H19" s="20"/>
      <c r="I19" s="20"/>
      <c r="J19" s="20"/>
      <c r="K19" s="21"/>
    </row>
    <row r="20" ht="18" customHeight="1" spans="1:11" x14ac:dyDescent="0.25">
      <c r="A20" s="16">
        <f>IF(MONTH(DATE(YEAR($C$3),MONTH($C$3),12))=MONTH($C$3),DATE(YEAR($C$3),MONTH($C$3),12),"")</f>
      </c>
      <c r="B20" s="17">
        <f>IF(A20="","",CHOOSE(WEEKDAY(A20,2),"Segunda","Terça","Quarta","Quinta","Sexta","Sábado","Domingo"))</f>
      </c>
      <c r="C20" s="18"/>
      <c r="D20" s="18"/>
      <c r="E20" s="18"/>
      <c r="F20" s="19">
        <f>IF(OR(C20="",D20=""),"",D20-C20-IF(E20="",0,E20))</f>
      </c>
      <c r="G20" s="20"/>
      <c r="H20" s="20"/>
      <c r="I20" s="20"/>
      <c r="J20" s="20"/>
      <c r="K20" s="21"/>
    </row>
    <row r="21" ht="18" customHeight="1" spans="1:11" x14ac:dyDescent="0.25">
      <c r="A21" s="16">
        <f>IF(MONTH(DATE(YEAR($C$3),MONTH($C$3),13))=MONTH($C$3),DATE(YEAR($C$3),MONTH($C$3),13),"")</f>
      </c>
      <c r="B21" s="17">
        <f>IF(A21="","",CHOOSE(WEEKDAY(A21,2),"Segunda","Terça","Quarta","Quinta","Sexta","Sábado","Domingo"))</f>
      </c>
      <c r="C21" s="18"/>
      <c r="D21" s="18"/>
      <c r="E21" s="18"/>
      <c r="F21" s="19">
        <f>IF(OR(C21="",D21=""),"",D21-C21-IF(E21="",0,E21))</f>
      </c>
      <c r="G21" s="20"/>
      <c r="H21" s="20"/>
      <c r="I21" s="20"/>
      <c r="J21" s="20"/>
      <c r="K21" s="21"/>
    </row>
    <row r="22" ht="18" customHeight="1" spans="1:11" x14ac:dyDescent="0.25">
      <c r="A22" s="16">
        <f>IF(MONTH(DATE(YEAR($C$3),MONTH($C$3),14))=MONTH($C$3),DATE(YEAR($C$3),MONTH($C$3),14),"")</f>
      </c>
      <c r="B22" s="17">
        <f>IF(A22="","",CHOOSE(WEEKDAY(A22,2),"Segunda","Terça","Quarta","Quinta","Sexta","Sábado","Domingo"))</f>
      </c>
      <c r="C22" s="18"/>
      <c r="D22" s="18"/>
      <c r="E22" s="18"/>
      <c r="F22" s="19">
        <f>IF(OR(C22="",D22=""),"",D22-C22-IF(E22="",0,E22))</f>
      </c>
      <c r="G22" s="20"/>
      <c r="H22" s="20"/>
      <c r="I22" s="20"/>
      <c r="J22" s="20"/>
      <c r="K22" s="21"/>
    </row>
    <row r="23" ht="18" customHeight="1" spans="1:11" x14ac:dyDescent="0.25">
      <c r="A23" s="16">
        <f>IF(MONTH(DATE(YEAR($C$3),MONTH($C$3),15))=MONTH($C$3),DATE(YEAR($C$3),MONTH($C$3),15),"")</f>
      </c>
      <c r="B23" s="17">
        <f>IF(A23="","",CHOOSE(WEEKDAY(A23,2),"Segunda","Terça","Quarta","Quinta","Sexta","Sábado","Domingo"))</f>
      </c>
      <c r="C23" s="18"/>
      <c r="D23" s="18"/>
      <c r="E23" s="18"/>
      <c r="F23" s="19">
        <f>IF(OR(C23="",D23=""),"",D23-C23-IF(E23="",0,E23))</f>
      </c>
      <c r="G23" s="20"/>
      <c r="H23" s="20"/>
      <c r="I23" s="20"/>
      <c r="J23" s="20"/>
      <c r="K23" s="21"/>
    </row>
    <row r="24" ht="18" customHeight="1" spans="1:11" x14ac:dyDescent="0.25">
      <c r="A24" s="16">
        <f>IF(MONTH(DATE(YEAR($C$3),MONTH($C$3),16))=MONTH($C$3),DATE(YEAR($C$3),MONTH($C$3),16),"")</f>
      </c>
      <c r="B24" s="17">
        <f>IF(A24="","",CHOOSE(WEEKDAY(A24,2),"Segunda","Terça","Quarta","Quinta","Sexta","Sábado","Domingo"))</f>
      </c>
      <c r="C24" s="18"/>
      <c r="D24" s="18"/>
      <c r="E24" s="18"/>
      <c r="F24" s="19">
        <f>IF(OR(C24="",D24=""),"",D24-C24-IF(E24="",0,E24))</f>
      </c>
      <c r="G24" s="20"/>
      <c r="H24" s="20"/>
      <c r="I24" s="20"/>
      <c r="J24" s="20"/>
      <c r="K24" s="21"/>
    </row>
    <row r="25" ht="18" customHeight="1" spans="1:11" x14ac:dyDescent="0.25">
      <c r="A25" s="16">
        <f>IF(MONTH(DATE(YEAR($C$3),MONTH($C$3),17))=MONTH($C$3),DATE(YEAR($C$3),MONTH($C$3),17),"")</f>
      </c>
      <c r="B25" s="17">
        <f>IF(A25="","",CHOOSE(WEEKDAY(A25,2),"Segunda","Terça","Quarta","Quinta","Sexta","Sábado","Domingo"))</f>
      </c>
      <c r="C25" s="18"/>
      <c r="D25" s="18"/>
      <c r="E25" s="18"/>
      <c r="F25" s="19">
        <f>IF(OR(C25="",D25=""),"",D25-C25-IF(E25="",0,E25))</f>
      </c>
      <c r="G25" s="20"/>
      <c r="H25" s="20"/>
      <c r="I25" s="20"/>
      <c r="J25" s="20"/>
      <c r="K25" s="21"/>
    </row>
    <row r="26" ht="18" customHeight="1" spans="1:11" x14ac:dyDescent="0.25">
      <c r="A26" s="16">
        <f>IF(MONTH(DATE(YEAR($C$3),MONTH($C$3),18))=MONTH($C$3),DATE(YEAR($C$3),MONTH($C$3),18),"")</f>
      </c>
      <c r="B26" s="17">
        <f>IF(A26="","",CHOOSE(WEEKDAY(A26,2),"Segunda","Terça","Quarta","Quinta","Sexta","Sábado","Domingo"))</f>
      </c>
      <c r="C26" s="18"/>
      <c r="D26" s="18"/>
      <c r="E26" s="18"/>
      <c r="F26" s="19">
        <f>IF(OR(C26="",D26=""),"",D26-C26-IF(E26="",0,E26))</f>
      </c>
      <c r="G26" s="20"/>
      <c r="H26" s="20"/>
      <c r="I26" s="20"/>
      <c r="J26" s="20"/>
      <c r="K26" s="21"/>
    </row>
    <row r="27" ht="18" customHeight="1" spans="1:11" x14ac:dyDescent="0.25">
      <c r="A27" s="16">
        <f>IF(MONTH(DATE(YEAR($C$3),MONTH($C$3),19))=MONTH($C$3),DATE(YEAR($C$3),MONTH($C$3),19),"")</f>
      </c>
      <c r="B27" s="17">
        <f>IF(A27="","",CHOOSE(WEEKDAY(A27,2),"Segunda","Terça","Quarta","Quinta","Sexta","Sábado","Domingo"))</f>
      </c>
      <c r="C27" s="18"/>
      <c r="D27" s="18"/>
      <c r="E27" s="18"/>
      <c r="F27" s="19">
        <f>IF(OR(C27="",D27=""),"",D27-C27-IF(E27="",0,E27))</f>
      </c>
      <c r="G27" s="20"/>
      <c r="H27" s="20"/>
      <c r="I27" s="20"/>
      <c r="J27" s="20"/>
      <c r="K27" s="21"/>
    </row>
    <row r="28" ht="18" customHeight="1" spans="1:11" x14ac:dyDescent="0.25">
      <c r="A28" s="16">
        <f>IF(MONTH(DATE(YEAR($C$3),MONTH($C$3),20))=MONTH($C$3),DATE(YEAR($C$3),MONTH($C$3),20),"")</f>
      </c>
      <c r="B28" s="17">
        <f>IF(A28="","",CHOOSE(WEEKDAY(A28,2),"Segunda","Terça","Quarta","Quinta","Sexta","Sábado","Domingo"))</f>
      </c>
      <c r="C28" s="18"/>
      <c r="D28" s="18"/>
      <c r="E28" s="18"/>
      <c r="F28" s="19">
        <f>IF(OR(C28="",D28=""),"",D28-C28-IF(E28="",0,E28))</f>
      </c>
      <c r="G28" s="20"/>
      <c r="H28" s="20"/>
      <c r="I28" s="20"/>
      <c r="J28" s="20"/>
      <c r="K28" s="21"/>
    </row>
    <row r="29" ht="18" customHeight="1" spans="1:11" x14ac:dyDescent="0.25">
      <c r="A29" s="16">
        <f>IF(MONTH(DATE(YEAR($C$3),MONTH($C$3),21))=MONTH($C$3),DATE(YEAR($C$3),MONTH($C$3),21),"")</f>
      </c>
      <c r="B29" s="17">
        <f>IF(A29="","",CHOOSE(WEEKDAY(A29,2),"Segunda","Terça","Quarta","Quinta","Sexta","Sábado","Domingo"))</f>
      </c>
      <c r="C29" s="18"/>
      <c r="D29" s="18"/>
      <c r="E29" s="18"/>
      <c r="F29" s="19">
        <f>IF(OR(C29="",D29=""),"",D29-C29-IF(E29="",0,E29))</f>
      </c>
      <c r="G29" s="20"/>
      <c r="H29" s="20"/>
      <c r="I29" s="20"/>
      <c r="J29" s="20"/>
      <c r="K29" s="21"/>
    </row>
    <row r="30" ht="18" customHeight="1" spans="1:11" x14ac:dyDescent="0.25">
      <c r="A30" s="16">
        <f>IF(MONTH(DATE(YEAR($C$3),MONTH($C$3),22))=MONTH($C$3),DATE(YEAR($C$3),MONTH($C$3),22),"")</f>
      </c>
      <c r="B30" s="17">
        <f>IF(A30="","",CHOOSE(WEEKDAY(A30,2),"Segunda","Terça","Quarta","Quinta","Sexta","Sábado","Domingo"))</f>
      </c>
      <c r="C30" s="18"/>
      <c r="D30" s="18"/>
      <c r="E30" s="18"/>
      <c r="F30" s="19">
        <f>IF(OR(C30="",D30=""),"",D30-C30-IF(E30="",0,E30))</f>
      </c>
      <c r="G30" s="20"/>
      <c r="H30" s="20"/>
      <c r="I30" s="20"/>
      <c r="J30" s="20"/>
      <c r="K30" s="21"/>
    </row>
    <row r="31" ht="18" customHeight="1" spans="1:11" x14ac:dyDescent="0.25">
      <c r="A31" s="16">
        <f>IF(MONTH(DATE(YEAR($C$3),MONTH($C$3),23))=MONTH($C$3),DATE(YEAR($C$3),MONTH($C$3),23),"")</f>
      </c>
      <c r="B31" s="17">
        <f>IF(A31="","",CHOOSE(WEEKDAY(A31,2),"Segunda","Terça","Quarta","Quinta","Sexta","Sábado","Domingo"))</f>
      </c>
      <c r="C31" s="18"/>
      <c r="D31" s="18"/>
      <c r="E31" s="18"/>
      <c r="F31" s="19">
        <f>IF(OR(C31="",D31=""),"",D31-C31-IF(E31="",0,E31))</f>
      </c>
      <c r="G31" s="20"/>
      <c r="H31" s="20"/>
      <c r="I31" s="20"/>
      <c r="J31" s="20"/>
      <c r="K31" s="21"/>
    </row>
    <row r="32" ht="18" customHeight="1" spans="1:11" x14ac:dyDescent="0.25">
      <c r="A32" s="16">
        <f>IF(MONTH(DATE(YEAR($C$3),MONTH($C$3),24))=MONTH($C$3),DATE(YEAR($C$3),MONTH($C$3),24),"")</f>
      </c>
      <c r="B32" s="17">
        <f>IF(A32="","",CHOOSE(WEEKDAY(A32,2),"Segunda","Terça","Quarta","Quinta","Sexta","Sábado","Domingo"))</f>
      </c>
      <c r="C32" s="18"/>
      <c r="D32" s="18"/>
      <c r="E32" s="18"/>
      <c r="F32" s="19">
        <f>IF(OR(C32="",D32=""),"",D32-C32-IF(E32="",0,E32))</f>
      </c>
      <c r="G32" s="20"/>
      <c r="H32" s="20"/>
      <c r="I32" s="20"/>
      <c r="J32" s="20"/>
      <c r="K32" s="21"/>
    </row>
    <row r="33" ht="18" customHeight="1" spans="1:11" x14ac:dyDescent="0.25">
      <c r="A33" s="16">
        <f>IF(MONTH(DATE(YEAR($C$3),MONTH($C$3),25))=MONTH($C$3),DATE(YEAR($C$3),MONTH($C$3),25),"")</f>
      </c>
      <c r="B33" s="17">
        <f>IF(A33="","",CHOOSE(WEEKDAY(A33,2),"Segunda","Terça","Quarta","Quinta","Sexta","Sábado","Domingo"))</f>
      </c>
      <c r="C33" s="18"/>
      <c r="D33" s="18"/>
      <c r="E33" s="18"/>
      <c r="F33" s="19">
        <f>IF(OR(C33="",D33=""),"",D33-C33-IF(E33="",0,E33))</f>
      </c>
      <c r="G33" s="20"/>
      <c r="H33" s="20"/>
      <c r="I33" s="20"/>
      <c r="J33" s="20"/>
      <c r="K33" s="21"/>
    </row>
    <row r="34" ht="18" customHeight="1" spans="1:11" x14ac:dyDescent="0.25">
      <c r="A34" s="16">
        <f>IF(MONTH(DATE(YEAR($C$3),MONTH($C$3),26))=MONTH($C$3),DATE(YEAR($C$3),MONTH($C$3),26),"")</f>
      </c>
      <c r="B34" s="17">
        <f>IF(A34="","",CHOOSE(WEEKDAY(A34,2),"Segunda","Terça","Quarta","Quinta","Sexta","Sábado","Domingo"))</f>
      </c>
      <c r="C34" s="18"/>
      <c r="D34" s="18"/>
      <c r="E34" s="18"/>
      <c r="F34" s="19">
        <f>IF(OR(C34="",D34=""),"",D34-C34-IF(E34="",0,E34))</f>
      </c>
      <c r="G34" s="20"/>
      <c r="H34" s="20"/>
      <c r="I34" s="20"/>
      <c r="J34" s="20"/>
      <c r="K34" s="21"/>
    </row>
    <row r="35" ht="18" customHeight="1" spans="1:11" x14ac:dyDescent="0.25">
      <c r="A35" s="16">
        <f>IF(MONTH(DATE(YEAR($C$3),MONTH($C$3),27))=MONTH($C$3),DATE(YEAR($C$3),MONTH($C$3),27),"")</f>
      </c>
      <c r="B35" s="17">
        <f>IF(A35="","",CHOOSE(WEEKDAY(A35,2),"Segunda","Terça","Quarta","Quinta","Sexta","Sábado","Domingo"))</f>
      </c>
      <c r="C35" s="18"/>
      <c r="D35" s="18"/>
      <c r="E35" s="18"/>
      <c r="F35" s="19">
        <f>IF(OR(C35="",D35=""),"",D35-C35-IF(E35="",0,E35))</f>
      </c>
      <c r="G35" s="20"/>
      <c r="H35" s="20"/>
      <c r="I35" s="20"/>
      <c r="J35" s="20"/>
      <c r="K35" s="21"/>
    </row>
    <row r="36" ht="18" customHeight="1" spans="1:11" x14ac:dyDescent="0.25">
      <c r="A36" s="16">
        <f>IF(MONTH(DATE(YEAR($C$3),MONTH($C$3),28))=MONTH($C$3),DATE(YEAR($C$3),MONTH($C$3),28),"")</f>
      </c>
      <c r="B36" s="17">
        <f>IF(A36="","",CHOOSE(WEEKDAY(A36,2),"Segunda","Terça","Quarta","Quinta","Sexta","Sábado","Domingo"))</f>
      </c>
      <c r="C36" s="18"/>
      <c r="D36" s="18"/>
      <c r="E36" s="18"/>
      <c r="F36" s="19">
        <f>IF(OR(C36="",D36=""),"",D36-C36-IF(E36="",0,E36))</f>
      </c>
      <c r="G36" s="20"/>
      <c r="H36" s="20"/>
      <c r="I36" s="20"/>
      <c r="J36" s="20"/>
      <c r="K36" s="21"/>
    </row>
    <row r="37" ht="18" customHeight="1" spans="1:11" x14ac:dyDescent="0.25">
      <c r="A37" s="16">
        <f>IF(MONTH(DATE(YEAR($C$3),MONTH($C$3),29))=MONTH($C$3),DATE(YEAR($C$3),MONTH($C$3),29),"")</f>
      </c>
      <c r="B37" s="17">
        <f>IF(A37="","",CHOOSE(WEEKDAY(A37,2),"Segunda","Terça","Quarta","Quinta","Sexta","Sábado","Domingo"))</f>
      </c>
      <c r="C37" s="18"/>
      <c r="D37" s="18"/>
      <c r="E37" s="18"/>
      <c r="F37" s="19">
        <f>IF(OR(C37="",D37=""),"",D37-C37-IF(E37="",0,E37))</f>
      </c>
      <c r="G37" s="20"/>
      <c r="H37" s="20"/>
      <c r="I37" s="20"/>
      <c r="J37" s="20"/>
      <c r="K37" s="21"/>
    </row>
    <row r="38" ht="18" customHeight="1" spans="1:11" x14ac:dyDescent="0.25">
      <c r="A38" s="16">
        <f>IF(MONTH(DATE(YEAR($C$3),MONTH($C$3),30))=MONTH($C$3),DATE(YEAR($C$3),MONTH($C$3),30),"")</f>
      </c>
      <c r="B38" s="17">
        <f>IF(A38="","",CHOOSE(WEEKDAY(A38,2),"Segunda","Terça","Quarta","Quinta","Sexta","Sábado","Domingo"))</f>
      </c>
      <c r="C38" s="18"/>
      <c r="D38" s="18"/>
      <c r="E38" s="18"/>
      <c r="F38" s="19">
        <f>IF(OR(C38="",D38=""),"",D38-C38-IF(E38="",0,E38))</f>
      </c>
      <c r="G38" s="20"/>
      <c r="H38" s="20"/>
      <c r="I38" s="20"/>
      <c r="J38" s="20"/>
      <c r="K38" s="21"/>
    </row>
    <row r="39" ht="18" customHeight="1" spans="1:11" x14ac:dyDescent="0.25">
      <c r="A39" s="16">
        <f>IF(MONTH(DATE(YEAR($C$3),MONTH($C$3),31))=MONTH($C$3),DATE(YEAR($C$3),MONTH($C$3),31),"")</f>
      </c>
      <c r="B39" s="17">
        <f>IF(A39="","",CHOOSE(WEEKDAY(A39,2),"Segunda","Terça","Quarta","Quinta","Sexta","Sábado","Domingo"))</f>
      </c>
      <c r="C39" s="18"/>
      <c r="D39" s="18"/>
      <c r="E39" s="18"/>
      <c r="F39" s="19">
        <f>IF(OR(C39="",D39=""),"",D39-C39-IF(E39="",0,E39))</f>
      </c>
      <c r="G39" s="20"/>
      <c r="H39" s="20"/>
      <c r="I39" s="20"/>
      <c r="J39" s="20"/>
      <c r="K39" s="21"/>
    </row>
  </sheetData>
  <mergeCells count="11">
    <mergeCell ref="A1:K1"/>
    <mergeCell ref="A2:B2"/>
    <mergeCell ref="C2:D2"/>
    <mergeCell ref="E2:F2"/>
    <mergeCell ref="G2:K2"/>
    <mergeCell ref="A3:B3"/>
    <mergeCell ref="C3:D3"/>
    <mergeCell ref="E3:F3"/>
    <mergeCell ref="G3:H3"/>
    <mergeCell ref="I3:K3"/>
    <mergeCell ref="A5:K5"/>
  </mergeCells>
  <conditionalFormatting sqref="A9:K39">
    <cfRule type="expression" dxfId="6" priority="1">
      <formula>$B9="Domingo"</formula>
    </cfRule>
    <cfRule type="expression" dxfId="7" priority="2">
      <formula>$B9="Sábado"</formula>
    </cfRule>
  </conditionalFormatting>
  <conditionalFormatting sqref="A9:K39">
    <cfRule type="expression" dxfId="8" priority="3">
      <formula>AND(MOD(ROW(),2)=1,$B9&lt;&gt;"Domingo",$B9&lt;&gt;"Sábado",$A9&lt;&gt;"")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16" customWidth="1"/>
    <col min="4" max="5" width="14" customWidth="1"/>
    <col min="6" max="7" width="12" customWidth="1"/>
    <col min="8" max="8" width="16" customWidth="1"/>
    <col min="9" max="9" width="36" customWidth="1"/>
  </cols>
  <sheetData>
    <row r="1" ht="36" customHeight="1" spans="1:9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</row>
    <row r="2" ht="22" customHeight="1" spans="1:4" x14ac:dyDescent="0.25">
      <c r="A2" s="6" t="s">
        <v>33</v>
      </c>
      <c r="B2" s="6"/>
      <c r="C2" s="7" t="s">
        <v>57</v>
      </c>
      <c r="D2" s="7"/>
    </row>
    <row r="3" ht="8" customHeight="1" x14ac:dyDescent="0.25"/>
    <row r="4" ht="28" customHeight="1" spans="1:9" x14ac:dyDescent="0.25">
      <c r="A4" s="22" t="s">
        <v>58</v>
      </c>
      <c r="B4" s="22" t="s">
        <v>59</v>
      </c>
      <c r="C4" s="22" t="s">
        <v>60</v>
      </c>
      <c r="D4" s="22" t="s">
        <v>38</v>
      </c>
      <c r="E4" s="22" t="s">
        <v>39</v>
      </c>
      <c r="F4" s="22" t="s">
        <v>40</v>
      </c>
      <c r="G4" s="22" t="s">
        <v>41</v>
      </c>
      <c r="H4" s="22" t="s">
        <v>61</v>
      </c>
      <c r="I4" s="22" t="s">
        <v>62</v>
      </c>
    </row>
    <row r="5" ht="20" customHeight="1" spans="1:9" x14ac:dyDescent="0.25">
      <c r="A5" s="23">
        <v>1</v>
      </c>
      <c r="B5" s="24" t="s">
        <v>50</v>
      </c>
      <c r="C5" s="19">
        <f>'João Silva'!B7</f>
      </c>
      <c r="D5" s="19">
        <f>'João Silva'!C7</f>
      </c>
      <c r="E5" s="19">
        <f>'João Silva'!D7</f>
      </c>
      <c r="F5" s="19">
        <f>'João Silva'!E7</f>
      </c>
      <c r="G5" s="19">
        <f>'João Silva'!F7</f>
      </c>
      <c r="H5" s="25">
        <f>'João Silva'!G7</f>
      </c>
      <c r="I5" s="26" t="s">
        <v>63</v>
      </c>
    </row>
    <row r="6" ht="20" customHeight="1" spans="1:9" x14ac:dyDescent="0.25">
      <c r="A6" s="27">
        <v>2</v>
      </c>
      <c r="B6" s="28" t="s">
        <v>54</v>
      </c>
      <c r="C6" s="20">
        <f>'Maria Oliveira'!B7</f>
      </c>
      <c r="D6" s="20">
        <f>'Maria Oliveira'!C7</f>
      </c>
      <c r="E6" s="20">
        <f>'Maria Oliveira'!D7</f>
      </c>
      <c r="F6" s="20">
        <f>'Maria Oliveira'!E7</f>
      </c>
      <c r="G6" s="20">
        <f>'Maria Oliveira'!F7</f>
      </c>
      <c r="H6" s="29">
        <f>'Maria Oliveira'!G7</f>
      </c>
      <c r="I6" s="21" t="s">
        <v>63</v>
      </c>
    </row>
    <row r="7" ht="20" customHeight="1" spans="1:9" x14ac:dyDescent="0.25">
      <c r="A7" s="23">
        <v>3</v>
      </c>
      <c r="B7" s="24" t="s">
        <v>64</v>
      </c>
      <c r="C7" s="19" t="s">
        <v>63</v>
      </c>
      <c r="D7" s="19" t="s">
        <v>63</v>
      </c>
      <c r="E7" s="19" t="s">
        <v>63</v>
      </c>
      <c r="F7" s="19" t="s">
        <v>63</v>
      </c>
      <c r="G7" s="19" t="s">
        <v>63</v>
      </c>
      <c r="H7" s="25" t="s">
        <v>63</v>
      </c>
      <c r="I7" s="26" t="s">
        <v>63</v>
      </c>
    </row>
    <row r="8" ht="20" customHeight="1" spans="1:9" x14ac:dyDescent="0.25">
      <c r="A8" s="27">
        <v>4</v>
      </c>
      <c r="B8" s="28" t="s">
        <v>64</v>
      </c>
      <c r="C8" s="20" t="s">
        <v>63</v>
      </c>
      <c r="D8" s="20" t="s">
        <v>63</v>
      </c>
      <c r="E8" s="20" t="s">
        <v>63</v>
      </c>
      <c r="F8" s="20" t="s">
        <v>63</v>
      </c>
      <c r="G8" s="20" t="s">
        <v>63</v>
      </c>
      <c r="H8" s="29" t="s">
        <v>63</v>
      </c>
      <c r="I8" s="21" t="s">
        <v>63</v>
      </c>
    </row>
    <row r="9" ht="20" customHeight="1" spans="1:9" x14ac:dyDescent="0.25">
      <c r="A9" s="23">
        <v>5</v>
      </c>
      <c r="B9" s="24" t="s">
        <v>64</v>
      </c>
      <c r="C9" s="19" t="s">
        <v>63</v>
      </c>
      <c r="D9" s="19" t="s">
        <v>63</v>
      </c>
      <c r="E9" s="19" t="s">
        <v>63</v>
      </c>
      <c r="F9" s="19" t="s">
        <v>63</v>
      </c>
      <c r="G9" s="19" t="s">
        <v>63</v>
      </c>
      <c r="H9" s="25" t="s">
        <v>63</v>
      </c>
      <c r="I9" s="26" t="s">
        <v>63</v>
      </c>
    </row>
    <row r="10" ht="24" customHeight="1" spans="1:9" x14ac:dyDescent="0.25">
      <c r="A10" s="30" t="s">
        <v>65</v>
      </c>
      <c r="B10" s="30"/>
      <c r="C10" s="31">
        <f>SUM(C5:C9)</f>
      </c>
      <c r="D10" s="31">
        <f>SUM(D5:D9)</f>
      </c>
      <c r="E10" s="31">
        <f>SUM(E5:E9)</f>
      </c>
      <c r="F10" s="31">
        <f>SUM(F5:F9)</f>
      </c>
      <c r="G10" s="31">
        <f>SUM(G5:G9)</f>
      </c>
      <c r="H10" s="32">
        <f>SUM(H5:H9)</f>
      </c>
      <c r="I10" s="33"/>
    </row>
    <row r="12" ht="36" customHeight="1" spans="1:9" x14ac:dyDescent="0.25">
      <c r="A12" s="34" t="s">
        <v>66</v>
      </c>
      <c r="B12" s="34"/>
      <c r="C12" s="34"/>
      <c r="D12" s="34"/>
      <c r="E12" s="34"/>
      <c r="F12" s="34"/>
      <c r="G12" s="34"/>
      <c r="H12" s="34"/>
      <c r="I12" s="34"/>
    </row>
  </sheetData>
  <mergeCells count="5">
    <mergeCell ref="A1:I1"/>
    <mergeCell ref="A2:B2"/>
    <mergeCell ref="C2:D2"/>
    <mergeCell ref="A10:B10"/>
    <mergeCell ref="A12:I1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MODELO</vt:lpstr>
      <vt:lpstr>João Silva</vt:lpstr>
      <vt:lpstr>Maria Oliveira</vt:lpstr>
      <vt:lpstr>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Ponto</dc:creator>
  <dc:title/>
  <dc:subject/>
  <dc:description/>
  <cp:keywords/>
  <cp:category/>
  <cp:lastModifiedBy>Unknown</cp:lastModifiedBy>
  <dcterms:created xsi:type="dcterms:W3CDTF">2026-04-13T23:12:07Z</dcterms:created>
  <dcterms:modified xsi:type="dcterms:W3CDTF">2026-04-13T23:12:07Z</dcterms:modified>
</cp:coreProperties>
</file>